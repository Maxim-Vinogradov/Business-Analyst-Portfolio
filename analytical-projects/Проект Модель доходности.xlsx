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esktop\Иследование Операций\"/>
    </mc:Choice>
  </mc:AlternateContent>
  <xr:revisionPtr revIDLastSave="0" documentId="13_ncr:1_{8EDFD105-D1D6-4D4F-8DC6-C8710C60BE1F}" xr6:coauthVersionLast="47" xr6:coauthVersionMax="47" xr10:uidLastSave="{00000000-0000-0000-0000-000000000000}"/>
  <bookViews>
    <workbookView xWindow="-108" yWindow="-108" windowWidth="23256" windowHeight="12576" activeTab="3" xr2:uid="{00000000-000D-0000-FFFF-FFFF00000000}"/>
  </bookViews>
  <sheets>
    <sheet name="Статистика акций за год" sheetId="1" r:id="rId1"/>
    <sheet name="Доходность" sheetId="2" r:id="rId2"/>
    <sheet name="Модель доходности" sheetId="3" r:id="rId3"/>
    <sheet name="Линия эффективных портфелей" sheetId="4" r:id="rId4"/>
    <sheet name="SML" sheetId="6" r:id="rId5"/>
  </sheets>
  <definedNames>
    <definedName name="solver_adj" localSheetId="3" hidden="1">'Линия эффективных портфелей'!$D$39:$L$39</definedName>
    <definedName name="solver_cvg" localSheetId="3" hidden="1">0.0001</definedName>
    <definedName name="solver_drv" localSheetId="3" hidden="1">1</definedName>
    <definedName name="solver_eng" localSheetId="1" hidden="1">1</definedName>
    <definedName name="solver_eng" localSheetId="3" hidden="1">1</definedName>
    <definedName name="solver_est" localSheetId="3" hidden="1">1</definedName>
    <definedName name="solver_itr" localSheetId="3" hidden="1">2147483647</definedName>
    <definedName name="solver_lhs1" localSheetId="3" hidden="1">'Линия эффективных портфелей'!$M$39</definedName>
    <definedName name="solver_lhs2" localSheetId="3" hidden="1">'Линия эффективных портфелей'!$P$39</definedName>
    <definedName name="solver_mip" localSheetId="3" hidden="1">2147483647</definedName>
    <definedName name="solver_mni" localSheetId="3" hidden="1">30</definedName>
    <definedName name="solver_mrt" localSheetId="3" hidden="1">0.075</definedName>
    <definedName name="solver_msl" localSheetId="3" hidden="1">2</definedName>
    <definedName name="solver_neg" localSheetId="1" hidden="1">1</definedName>
    <definedName name="solver_neg" localSheetId="3" hidden="1">1</definedName>
    <definedName name="solver_nod" localSheetId="3" hidden="1">2147483647</definedName>
    <definedName name="solver_num" localSheetId="1" hidden="1">0</definedName>
    <definedName name="solver_num" localSheetId="3" hidden="1">2</definedName>
    <definedName name="solver_nwt" localSheetId="3" hidden="1">1</definedName>
    <definedName name="solver_opt" localSheetId="1" hidden="1">Доходность!$B$4</definedName>
    <definedName name="solver_opt" localSheetId="3" hidden="1">'Линия эффективных портфелей'!$P$38</definedName>
    <definedName name="solver_pre" localSheetId="3" hidden="1">0.000001</definedName>
    <definedName name="solver_rbv" localSheetId="3" hidden="1">1</definedName>
    <definedName name="solver_rel1" localSheetId="3" hidden="1">2</definedName>
    <definedName name="solver_rel2" localSheetId="3" hidden="1">2</definedName>
    <definedName name="solver_rhs1" localSheetId="3" hidden="1">1</definedName>
    <definedName name="solver_rhs2" localSheetId="3" hidden="1">'Линия эффективных портфелей'!$L$34</definedName>
    <definedName name="solver_rlx" localSheetId="3" hidden="1">2</definedName>
    <definedName name="solver_rsd" localSheetId="3" hidden="1">0</definedName>
    <definedName name="solver_scl" localSheetId="3" hidden="1">1</definedName>
    <definedName name="solver_sho" localSheetId="3" hidden="1">2</definedName>
    <definedName name="solver_ssz" localSheetId="3" hidden="1">100</definedName>
    <definedName name="solver_tim" localSheetId="3" hidden="1">2147483647</definedName>
    <definedName name="solver_tol" localSheetId="3" hidden="1">0.01</definedName>
    <definedName name="solver_typ" localSheetId="1" hidden="1">1</definedName>
    <definedName name="solver_typ" localSheetId="3" hidden="1">2</definedName>
    <definedName name="solver_val" localSheetId="1" hidden="1">0</definedName>
    <definedName name="solver_val" localSheetId="3" hidden="1">0</definedName>
    <definedName name="solver_ver" localSheetId="1" hidden="1">3</definedName>
    <definedName name="solver_ver" localSheetId="3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68" i="2" l="1"/>
  <c r="J267" i="2"/>
  <c r="I267" i="2"/>
  <c r="J266" i="2"/>
  <c r="I266" i="2"/>
  <c r="H266" i="2"/>
  <c r="J265" i="2"/>
  <c r="I265" i="2"/>
  <c r="H265" i="2"/>
  <c r="G265" i="2"/>
  <c r="J264" i="2"/>
  <c r="I264" i="2"/>
  <c r="H264" i="2"/>
  <c r="G264" i="2"/>
  <c r="F264" i="2"/>
  <c r="J263" i="2"/>
  <c r="I263" i="2"/>
  <c r="H263" i="2"/>
  <c r="G263" i="2"/>
  <c r="F263" i="2"/>
  <c r="E263" i="2"/>
  <c r="J262" i="2"/>
  <c r="I262" i="2"/>
  <c r="H262" i="2"/>
  <c r="G262" i="2"/>
  <c r="F262" i="2"/>
  <c r="E262" i="2"/>
  <c r="D262" i="2"/>
  <c r="J261" i="2"/>
  <c r="I261" i="2"/>
  <c r="H261" i="2"/>
  <c r="G261" i="2"/>
  <c r="F261" i="2"/>
  <c r="E261" i="2"/>
  <c r="D261" i="2"/>
  <c r="C261" i="2"/>
  <c r="L5" i="3" l="1"/>
  <c r="L4" i="3"/>
  <c r="M6" i="2"/>
  <c r="M4" i="3" s="1"/>
  <c r="M4" i="2"/>
  <c r="M5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C18" i="6" l="1"/>
  <c r="B6" i="6"/>
  <c r="B7" i="6"/>
  <c r="B8" i="6"/>
  <c r="B9" i="6"/>
  <c r="B10" i="6"/>
  <c r="B11" i="6"/>
  <c r="B12" i="6"/>
  <c r="B13" i="6"/>
  <c r="B5" i="6"/>
  <c r="D21" i="4"/>
  <c r="C44" i="4"/>
  <c r="C43" i="4"/>
  <c r="C42" i="4"/>
  <c r="C41" i="4"/>
  <c r="M39" i="4"/>
  <c r="C48" i="4"/>
  <c r="I48" i="4" s="1"/>
  <c r="B48" i="4"/>
  <c r="C47" i="4"/>
  <c r="H47" i="4" s="1"/>
  <c r="B47" i="4"/>
  <c r="C46" i="4"/>
  <c r="G46" i="4" s="1"/>
  <c r="B46" i="4"/>
  <c r="C45" i="4"/>
  <c r="G45" i="4" s="1"/>
  <c r="B45" i="4"/>
  <c r="B44" i="4"/>
  <c r="B43" i="4"/>
  <c r="B42" i="4"/>
  <c r="B41" i="4"/>
  <c r="C40" i="4"/>
  <c r="B40" i="4"/>
  <c r="B28" i="4"/>
  <c r="B27" i="4"/>
  <c r="B26" i="4"/>
  <c r="B25" i="4"/>
  <c r="B24" i="4"/>
  <c r="B23" i="4"/>
  <c r="B22" i="4"/>
  <c r="B21" i="4"/>
  <c r="B20" i="4"/>
  <c r="D24" i="4"/>
  <c r="D25" i="4"/>
  <c r="C20" i="4"/>
  <c r="C28" i="4"/>
  <c r="D28" i="4" s="1"/>
  <c r="C27" i="4"/>
  <c r="D27" i="4" s="1"/>
  <c r="C26" i="4"/>
  <c r="D26" i="4" s="1"/>
  <c r="C25" i="4"/>
  <c r="C24" i="4"/>
  <c r="C23" i="4"/>
  <c r="D23" i="4" s="1"/>
  <c r="C22" i="4"/>
  <c r="D22" i="4" s="1"/>
  <c r="C21" i="4"/>
  <c r="K12" i="4"/>
  <c r="K11" i="4"/>
  <c r="J11" i="4"/>
  <c r="K10" i="4"/>
  <c r="J10" i="4"/>
  <c r="I10" i="4"/>
  <c r="K9" i="4"/>
  <c r="J9" i="4"/>
  <c r="I9" i="4"/>
  <c r="H9" i="4"/>
  <c r="K8" i="4"/>
  <c r="J8" i="4"/>
  <c r="I8" i="4"/>
  <c r="H8" i="4"/>
  <c r="G8" i="4"/>
  <c r="K7" i="4"/>
  <c r="J7" i="4"/>
  <c r="I7" i="4"/>
  <c r="H7" i="4"/>
  <c r="G7" i="4"/>
  <c r="F7" i="4"/>
  <c r="K6" i="4"/>
  <c r="J6" i="4"/>
  <c r="I6" i="4"/>
  <c r="H6" i="4"/>
  <c r="G6" i="4"/>
  <c r="F6" i="4"/>
  <c r="E6" i="4"/>
  <c r="K5" i="4"/>
  <c r="J5" i="4"/>
  <c r="I5" i="4"/>
  <c r="H5" i="4"/>
  <c r="G5" i="4"/>
  <c r="F5" i="4"/>
  <c r="E5" i="4"/>
  <c r="D5" i="4"/>
  <c r="D4" i="4"/>
  <c r="B6" i="4" s="1"/>
  <c r="E4" i="4"/>
  <c r="B7" i="4" s="1"/>
  <c r="F4" i="4"/>
  <c r="B8" i="4" s="1"/>
  <c r="G4" i="4"/>
  <c r="B9" i="4" s="1"/>
  <c r="H4" i="4"/>
  <c r="B10" i="4" s="1"/>
  <c r="I4" i="4"/>
  <c r="B11" i="4" s="1"/>
  <c r="J4" i="4"/>
  <c r="B12" i="4" s="1"/>
  <c r="K4" i="4"/>
  <c r="B13" i="4" s="1"/>
  <c r="C4" i="4"/>
  <c r="B5" i="4" s="1"/>
  <c r="K42" i="4" l="1"/>
  <c r="K43" i="4"/>
  <c r="L44" i="4"/>
  <c r="J40" i="4"/>
  <c r="J41" i="4"/>
  <c r="E44" i="4"/>
  <c r="G44" i="4"/>
  <c r="D44" i="4"/>
  <c r="I44" i="4"/>
  <c r="D43" i="4"/>
  <c r="J44" i="4"/>
  <c r="K44" i="4"/>
  <c r="L43" i="4"/>
  <c r="F44" i="4"/>
  <c r="E43" i="4"/>
  <c r="F43" i="4"/>
  <c r="H43" i="4"/>
  <c r="K41" i="4"/>
  <c r="L45" i="4"/>
  <c r="E42" i="4"/>
  <c r="J43" i="4"/>
  <c r="I43" i="4"/>
  <c r="D42" i="4"/>
  <c r="J42" i="4"/>
  <c r="H42" i="4"/>
  <c r="L42" i="4"/>
  <c r="K40" i="4"/>
  <c r="E40" i="4"/>
  <c r="G42" i="4"/>
  <c r="I42" i="4"/>
  <c r="H46" i="4"/>
  <c r="J48" i="4"/>
  <c r="H45" i="4"/>
  <c r="I46" i="4"/>
  <c r="J47" i="4"/>
  <c r="K48" i="4"/>
  <c r="L40" i="4"/>
  <c r="L47" i="4"/>
  <c r="D47" i="4"/>
  <c r="E48" i="4"/>
  <c r="F40" i="4"/>
  <c r="F41" i="4"/>
  <c r="G41" i="4"/>
  <c r="J45" i="4"/>
  <c r="K46" i="4"/>
  <c r="L46" i="4"/>
  <c r="D46" i="4"/>
  <c r="E47" i="4"/>
  <c r="F48" i="4"/>
  <c r="G40" i="4"/>
  <c r="G47" i="4"/>
  <c r="H41" i="4"/>
  <c r="K45" i="4"/>
  <c r="D45" i="4"/>
  <c r="E46" i="4"/>
  <c r="F47" i="4"/>
  <c r="G48" i="4"/>
  <c r="H40" i="4"/>
  <c r="I47" i="4"/>
  <c r="E45" i="4"/>
  <c r="F46" i="4"/>
  <c r="H48" i="4"/>
  <c r="I40" i="4"/>
  <c r="I41" i="4"/>
  <c r="L41" i="4"/>
  <c r="D48" i="4"/>
  <c r="C49" i="4"/>
  <c r="D41" i="4"/>
  <c r="F45" i="4"/>
  <c r="I21" i="4"/>
  <c r="I20" i="4"/>
  <c r="K21" i="4"/>
  <c r="F26" i="4"/>
  <c r="H23" i="4"/>
  <c r="L27" i="4"/>
  <c r="L23" i="4"/>
  <c r="E28" i="4"/>
  <c r="F23" i="4"/>
  <c r="H27" i="4"/>
  <c r="E26" i="4"/>
  <c r="H25" i="4"/>
  <c r="I28" i="4"/>
  <c r="I26" i="4"/>
  <c r="L21" i="4"/>
  <c r="F27" i="4"/>
  <c r="J27" i="4"/>
  <c r="F28" i="4"/>
  <c r="J21" i="4"/>
  <c r="H28" i="4"/>
  <c r="F24" i="4"/>
  <c r="G24" i="4"/>
  <c r="J20" i="4"/>
  <c r="E27" i="4"/>
  <c r="F25" i="4"/>
  <c r="G28" i="4"/>
  <c r="H26" i="4"/>
  <c r="I27" i="4"/>
  <c r="J28" i="4"/>
  <c r="K20" i="4"/>
  <c r="K28" i="4"/>
  <c r="L22" i="4"/>
  <c r="E20" i="4"/>
  <c r="G21" i="4"/>
  <c r="K26" i="4"/>
  <c r="G20" i="4"/>
  <c r="L20" i="4"/>
  <c r="F20" i="4"/>
  <c r="F21" i="4" s="1"/>
  <c r="J25" i="4"/>
  <c r="E23" i="4"/>
  <c r="G27" i="4"/>
  <c r="H21" i="4"/>
  <c r="I23" i="4"/>
  <c r="J24" i="4"/>
  <c r="K24" i="4"/>
  <c r="L26" i="4"/>
  <c r="E22" i="4"/>
  <c r="G22" i="4"/>
  <c r="I24" i="4"/>
  <c r="K25" i="4"/>
  <c r="E24" i="4"/>
  <c r="G26" i="4"/>
  <c r="H20" i="4"/>
  <c r="H22" i="4"/>
  <c r="J23" i="4"/>
  <c r="K23" i="4"/>
  <c r="L25" i="4"/>
  <c r="E25" i="4"/>
  <c r="G25" i="4"/>
  <c r="I22" i="4"/>
  <c r="J22" i="4"/>
  <c r="K22" i="4"/>
  <c r="L24" i="4"/>
  <c r="C29" i="4"/>
  <c r="K5" i="2" l="1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I5" i="2"/>
  <c r="I6" i="2"/>
  <c r="I7" i="2"/>
  <c r="I8" i="2"/>
  <c r="J4" i="3" s="1"/>
  <c r="D12" i="6" s="1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H5" i="2"/>
  <c r="H6" i="2"/>
  <c r="H7" i="2"/>
  <c r="H8" i="2"/>
  <c r="H9" i="2"/>
  <c r="H10" i="2"/>
  <c r="H11" i="2"/>
  <c r="I4" i="3" s="1"/>
  <c r="D11" i="6" s="1"/>
  <c r="H12" i="2"/>
  <c r="I5" i="3" s="1"/>
  <c r="I6" i="3" s="1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G5" i="2"/>
  <c r="G6" i="2"/>
  <c r="H4" i="3" s="1"/>
  <c r="D10" i="6" s="1"/>
  <c r="G7" i="2"/>
  <c r="H5" i="3" s="1"/>
  <c r="H6" i="3" s="1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E5" i="2"/>
  <c r="E6" i="2"/>
  <c r="F4" i="3" s="1"/>
  <c r="D8" i="6" s="1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K4" i="2"/>
  <c r="L6" i="3" s="1"/>
  <c r="D4" i="2"/>
  <c r="E4" i="3" s="1"/>
  <c r="D7" i="6" s="1"/>
  <c r="E4" i="2"/>
  <c r="F5" i="3" s="1"/>
  <c r="F6" i="3" s="1"/>
  <c r="F4" i="2"/>
  <c r="G4" i="3" s="1"/>
  <c r="D9" i="6" s="1"/>
  <c r="G4" i="2"/>
  <c r="H4" i="2"/>
  <c r="I4" i="2"/>
  <c r="J4" i="2"/>
  <c r="K5" i="3" s="1"/>
  <c r="K6" i="3" s="1"/>
  <c r="C4" i="2"/>
  <c r="D4" i="3" s="1"/>
  <c r="D6" i="6" s="1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4" i="2"/>
  <c r="C19" i="6" l="1"/>
  <c r="C5" i="6"/>
  <c r="C5" i="4"/>
  <c r="I11" i="4"/>
  <c r="C11" i="6"/>
  <c r="G5" i="3"/>
  <c r="G6" i="3" s="1"/>
  <c r="C10" i="6"/>
  <c r="H10" i="4"/>
  <c r="J12" i="4"/>
  <c r="C12" i="6"/>
  <c r="C9" i="6"/>
  <c r="G9" i="4"/>
  <c r="E5" i="3"/>
  <c r="E6" i="3" s="1"/>
  <c r="C8" i="6"/>
  <c r="F8" i="4"/>
  <c r="D5" i="3"/>
  <c r="D6" i="3" s="1"/>
  <c r="C5" i="3"/>
  <c r="C6" i="3" s="1"/>
  <c r="K13" i="4"/>
  <c r="C13" i="6"/>
  <c r="C7" i="6"/>
  <c r="E7" i="4"/>
  <c r="D6" i="4"/>
  <c r="C6" i="6"/>
  <c r="J5" i="3"/>
  <c r="J6" i="3" s="1"/>
  <c r="K4" i="3"/>
  <c r="D13" i="6" s="1"/>
  <c r="C4" i="3"/>
  <c r="P19" i="4" s="1"/>
  <c r="P39" i="4"/>
  <c r="G23" i="4" l="1"/>
  <c r="G43" i="4"/>
  <c r="K27" i="4"/>
  <c r="K47" i="4"/>
  <c r="E21" i="4"/>
  <c r="E41" i="4"/>
  <c r="F22" i="4"/>
  <c r="F29" i="4" s="1"/>
  <c r="F42" i="4"/>
  <c r="H24" i="4"/>
  <c r="H44" i="4"/>
  <c r="J46" i="4"/>
  <c r="J26" i="4"/>
  <c r="C34" i="4"/>
  <c r="L34" i="4"/>
  <c r="D5" i="6"/>
  <c r="D20" i="4"/>
  <c r="D29" i="4" s="1"/>
  <c r="D40" i="4"/>
  <c r="I45" i="4"/>
  <c r="I25" i="4"/>
  <c r="L28" i="4"/>
  <c r="L29" i="4" s="1"/>
  <c r="L48" i="4"/>
  <c r="M19" i="4"/>
  <c r="E29" i="4"/>
  <c r="G29" i="4"/>
  <c r="H29" i="4"/>
  <c r="I29" i="4"/>
  <c r="J29" i="4"/>
  <c r="K29" i="4"/>
  <c r="M22" i="4"/>
  <c r="M24" i="4"/>
  <c r="M27" i="4"/>
  <c r="M28" i="4"/>
  <c r="M21" i="4"/>
  <c r="M25" i="4"/>
  <c r="M23" i="4"/>
  <c r="M26" i="4"/>
  <c r="F49" i="4" l="1"/>
  <c r="M42" i="4"/>
  <c r="M20" i="4"/>
  <c r="L49" i="4"/>
  <c r="M48" i="4"/>
  <c r="D34" i="4"/>
  <c r="E34" i="4" s="1"/>
  <c r="F34" i="4" s="1"/>
  <c r="G34" i="4" s="1"/>
  <c r="H34" i="4" s="1"/>
  <c r="I34" i="4" s="1"/>
  <c r="J34" i="4" s="1"/>
  <c r="K34" i="4" s="1"/>
  <c r="M47" i="4"/>
  <c r="K49" i="4"/>
  <c r="M46" i="4"/>
  <c r="J49" i="4"/>
  <c r="M43" i="4"/>
  <c r="G49" i="4"/>
  <c r="M41" i="4"/>
  <c r="E49" i="4"/>
  <c r="M45" i="4"/>
  <c r="I49" i="4"/>
  <c r="M44" i="4"/>
  <c r="H49" i="4"/>
  <c r="D49" i="4"/>
  <c r="M40" i="4"/>
  <c r="M29" i="4"/>
  <c r="P18" i="4" s="1"/>
  <c r="M49" i="4" l="1"/>
  <c r="P38" i="4" s="1"/>
</calcChain>
</file>

<file path=xl/sharedStrings.xml><?xml version="1.0" encoding="utf-8"?>
<sst xmlns="http://schemas.openxmlformats.org/spreadsheetml/2006/main" count="104" uniqueCount="45">
  <si>
    <t>Дата</t>
  </si>
  <si>
    <t>Роснефть</t>
  </si>
  <si>
    <t>ПИК</t>
  </si>
  <si>
    <t>Аэрофлот</t>
  </si>
  <si>
    <t>Газпром</t>
  </si>
  <si>
    <t>МТС</t>
  </si>
  <si>
    <t xml:space="preserve">Сбербанк </t>
  </si>
  <si>
    <t>Башнефть</t>
  </si>
  <si>
    <t>М.видео</t>
  </si>
  <si>
    <t>Татнефть</t>
  </si>
  <si>
    <t>Индекс РТС</t>
  </si>
  <si>
    <t>Данные акций за год</t>
  </si>
  <si>
    <t>Доходность акций</t>
  </si>
  <si>
    <t>Доходность облигаций на год  (бескупонных с сайта ЦБ РФ)</t>
  </si>
  <si>
    <t>σ^2</t>
  </si>
  <si>
    <t>σ</t>
  </si>
  <si>
    <t>r ср.</t>
  </si>
  <si>
    <t>Всего</t>
  </si>
  <si>
    <t>Риск</t>
  </si>
  <si>
    <t>Доходность</t>
  </si>
  <si>
    <t>№</t>
  </si>
  <si>
    <t>Построение линии эффективных портфелей.</t>
  </si>
  <si>
    <t>Минимальный риск портфеля находим через "Поиск решения".</t>
  </si>
  <si>
    <t>Строим матрицу. Доли акций в портфеле в сумме должны быть равны 1 (доли акций обозначены серой заливкой)</t>
  </si>
  <si>
    <t>Чтобы построить линию эффективных портфелей, нам необходимо для каждого шага найти доходность и риск. Аналогично используем "Поиск решения" для нахождения минимального риска.</t>
  </si>
  <si>
    <t>Проведение ковариации через "Анализ данных". Нам понадобится для построения матрицы доли акций в портфеле.</t>
  </si>
  <si>
    <t>Нахождение средней доходности и сигмы.</t>
  </si>
  <si>
    <r>
      <t xml:space="preserve">Значение </t>
    </r>
    <r>
      <rPr>
        <sz val="11"/>
        <color theme="1"/>
        <rFont val="Calibri"/>
        <family val="2"/>
        <charset val="204"/>
      </rPr>
      <t>β-коэффициента</t>
    </r>
  </si>
  <si>
    <t>β</t>
  </si>
  <si>
    <t>Построение SML</t>
  </si>
  <si>
    <t>Индекс РТС (rm)</t>
  </si>
  <si>
    <t xml:space="preserve">ОФЗ (r0) </t>
  </si>
  <si>
    <t>(нет риска, поэтому пишем 0)</t>
  </si>
  <si>
    <t>(безрисковая доходность)</t>
  </si>
  <si>
    <t>Расчёт бетта-коэффициентов</t>
  </si>
  <si>
    <t>Доходность на 1 день</t>
  </si>
  <si>
    <t>Столбец 1</t>
  </si>
  <si>
    <t>Столбец 2</t>
  </si>
  <si>
    <t>Столбец 3</t>
  </si>
  <si>
    <t>Столбец 4</t>
  </si>
  <si>
    <t>Столбец 5</t>
  </si>
  <si>
    <t>Столбец 6</t>
  </si>
  <si>
    <t>Столбец 7</t>
  </si>
  <si>
    <t>Столбец 8</t>
  </si>
  <si>
    <t>Столбец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</si>
</sst>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%"/>
    <numFmt numFmtId="165" formatCode="0.00000E+00"/>
    <numFmt numFmtId="166" formatCode="0.000%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sz val="11"/>
      <color rgb="FF232526"/>
      <name val="Times New Roman"/>
      <family val="1"/>
      <charset val="204"/>
    </font>
    <font>
      <sz val="11"/>
      <color theme="1"/>
      <name val="Times New Roman"/>
      <family val="1"/>
      <charset val="204"/>
    </font>
    <font>
      <i/>
      <sz val="12"/>
      <color rgb="FF7F7F7F"/>
      <name val="Calibri"/>
      <family val="2"/>
      <charset val="204"/>
      <scheme val="minor"/>
    </font>
    <font>
      <i/>
      <sz val="14"/>
      <color rgb="FF7F7F7F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sz val="11"/>
      <color rgb="FF2B2E33"/>
      <name val="Times New Roman"/>
      <family val="1"/>
      <charset val="204"/>
    </font>
    <font>
      <i/>
      <sz val="11"/>
      <color theme="1"/>
      <name val="Calibri"/>
      <family val="2"/>
      <scheme val="minor"/>
    </font>
    <font>
      <sz val="11"/>
      <color theme="2" tint="-0.749992370372631"/>
      <name val="Times New Roman"/>
      <family val="1"/>
      <charset val="204"/>
    </font>
    <font>
      <b/>
      <sz val="14"/>
      <color theme="2" tint="-0.749992370372631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58">
    <xf numFmtId="0" fontId="0" fillId="0" borderId="0" xfId="0"/>
    <xf numFmtId="0" fontId="5" fillId="0" borderId="1" xfId="0" applyFont="1" applyBorder="1" applyAlignment="1">
      <alignment horizontal="right"/>
    </xf>
    <xf numFmtId="0" fontId="5" fillId="0" borderId="0" xfId="0" applyFont="1"/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 wrapText="1" readingOrder="1"/>
    </xf>
    <xf numFmtId="0" fontId="4" fillId="3" borderId="1" xfId="0" applyFont="1" applyFill="1" applyBorder="1" applyAlignment="1">
      <alignment horizontal="right" vertical="center" wrapText="1" readingOrder="1"/>
    </xf>
    <xf numFmtId="14" fontId="4" fillId="2" borderId="1" xfId="0" applyNumberFormat="1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right" vertical="center" wrapText="1" readingOrder="1"/>
    </xf>
    <xf numFmtId="0" fontId="5" fillId="0" borderId="1" xfId="0" applyFont="1" applyBorder="1"/>
    <xf numFmtId="10" fontId="5" fillId="0" borderId="1" xfId="1" applyNumberFormat="1" applyFont="1" applyBorder="1" applyAlignment="1">
      <alignment horizontal="right" vertical="center" wrapText="1" readingOrder="1"/>
    </xf>
    <xf numFmtId="0" fontId="5" fillId="0" borderId="1" xfId="1" applyNumberFormat="1" applyFont="1" applyBorder="1" applyAlignment="1">
      <alignment horizontal="right" vertical="center" wrapText="1" readingOrder="1"/>
    </xf>
    <xf numFmtId="0" fontId="2" fillId="0" borderId="0" xfId="2"/>
    <xf numFmtId="0" fontId="6" fillId="0" borderId="0" xfId="2" applyFont="1"/>
    <xf numFmtId="0" fontId="7" fillId="0" borderId="0" xfId="2" applyFont="1"/>
    <xf numFmtId="10" fontId="9" fillId="3" borderId="1" xfId="1" applyNumberFormat="1" applyFont="1" applyFill="1" applyBorder="1" applyAlignment="1">
      <alignment vertical="top" wrapText="1"/>
    </xf>
    <xf numFmtId="10" fontId="5" fillId="0" borderId="0" xfId="1" applyNumberFormat="1" applyFont="1"/>
    <xf numFmtId="10" fontId="5" fillId="0" borderId="1" xfId="1" applyNumberFormat="1" applyFont="1" applyBorder="1"/>
    <xf numFmtId="10" fontId="5" fillId="0" borderId="1" xfId="1" applyNumberFormat="1" applyFont="1" applyBorder="1" applyAlignment="1">
      <alignment horizontal="center" vertical="top" wrapText="1"/>
    </xf>
    <xf numFmtId="0" fontId="0" fillId="0" borderId="1" xfId="0" applyBorder="1"/>
    <xf numFmtId="164" fontId="0" fillId="0" borderId="1" xfId="0" applyNumberFormat="1" applyBorder="1"/>
    <xf numFmtId="0" fontId="11" fillId="0" borderId="0" xfId="0" applyFont="1"/>
    <xf numFmtId="0" fontId="11" fillId="0" borderId="1" xfId="0" applyFont="1" applyBorder="1"/>
    <xf numFmtId="164" fontId="11" fillId="0" borderId="1" xfId="0" applyNumberFormat="1" applyFont="1" applyBorder="1"/>
    <xf numFmtId="165" fontId="11" fillId="0" borderId="0" xfId="0" applyNumberFormat="1" applyFont="1"/>
    <xf numFmtId="0" fontId="11" fillId="4" borderId="1" xfId="0" applyFont="1" applyFill="1" applyBorder="1"/>
    <xf numFmtId="0" fontId="11" fillId="4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/>
    </xf>
    <xf numFmtId="10" fontId="11" fillId="4" borderId="1" xfId="1" applyNumberFormat="1" applyFont="1" applyFill="1" applyBorder="1" applyAlignment="1">
      <alignment horizontal="center" vertical="top" wrapText="1"/>
    </xf>
    <xf numFmtId="0" fontId="0" fillId="0" borderId="1" xfId="0" applyBorder="1" applyAlignment="1">
      <alignment horizontal="center"/>
    </xf>
    <xf numFmtId="0" fontId="10" fillId="0" borderId="7" xfId="0" applyFont="1" applyBorder="1" applyAlignment="1">
      <alignment horizontal="center"/>
    </xf>
    <xf numFmtId="2" fontId="0" fillId="0" borderId="1" xfId="0" applyNumberFormat="1" applyBorder="1"/>
    <xf numFmtId="0" fontId="0" fillId="0" borderId="1" xfId="0" applyBorder="1" applyAlignment="1">
      <alignment horizontal="left"/>
    </xf>
    <xf numFmtId="0" fontId="0" fillId="0" borderId="6" xfId="0" applyBorder="1"/>
    <xf numFmtId="0" fontId="0" fillId="5" borderId="1" xfId="0" applyFill="1" applyBorder="1"/>
    <xf numFmtId="0" fontId="0" fillId="5" borderId="1" xfId="0" applyFill="1" applyBorder="1" applyAlignment="1">
      <alignment horizontal="left"/>
    </xf>
    <xf numFmtId="164" fontId="0" fillId="5" borderId="1" xfId="1" applyNumberFormat="1" applyFont="1" applyFill="1" applyBorder="1" applyAlignment="1">
      <alignment horizontal="left"/>
    </xf>
    <xf numFmtId="2" fontId="0" fillId="5" borderId="1" xfId="0" applyNumberFormat="1" applyFill="1" applyBorder="1"/>
    <xf numFmtId="164" fontId="11" fillId="0" borderId="0" xfId="0" applyNumberFormat="1" applyFont="1"/>
    <xf numFmtId="164" fontId="0" fillId="0" borderId="1" xfId="1" applyNumberFormat="1" applyFont="1" applyBorder="1"/>
    <xf numFmtId="0" fontId="12" fillId="0" borderId="0" xfId="0" applyFont="1"/>
    <xf numFmtId="0" fontId="6" fillId="0" borderId="0" xfId="2" applyFont="1" applyBorder="1"/>
    <xf numFmtId="0" fontId="7" fillId="0" borderId="0" xfId="2" applyFont="1" applyBorder="1"/>
    <xf numFmtId="0" fontId="0" fillId="0" borderId="0" xfId="0" applyAlignment="1">
      <alignment horizontal="center"/>
    </xf>
    <xf numFmtId="164" fontId="0" fillId="0" borderId="0" xfId="1" applyNumberFormat="1" applyFont="1" applyFill="1"/>
    <xf numFmtId="0" fontId="3" fillId="0" borderId="1" xfId="0" applyFont="1" applyBorder="1" applyAlignment="1">
      <alignment vertical="top" wrapText="1"/>
    </xf>
    <xf numFmtId="0" fontId="11" fillId="4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 vertical="top" wrapText="1"/>
    </xf>
    <xf numFmtId="166" fontId="5" fillId="0" borderId="1" xfId="0" applyNumberFormat="1" applyFont="1" applyBorder="1"/>
    <xf numFmtId="166" fontId="0" fillId="0" borderId="1" xfId="0" applyNumberFormat="1" applyBorder="1"/>
    <xf numFmtId="0" fontId="0" fillId="0" borderId="8" xfId="0" applyBorder="1"/>
    <xf numFmtId="0" fontId="8" fillId="0" borderId="1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</cellXfs>
  <cellStyles count="3">
    <cellStyle name="Обычный" xfId="0" builtinId="0"/>
    <cellStyle name="Пояснение" xfId="2" builtinId="53"/>
    <cellStyle name="Процентный" xfId="1" builtinId="5"/>
  </cellStyles>
  <dxfs count="0"/>
  <tableStyles count="0" defaultTableStyle="TableStyleMedium2" defaultPivotStyle="PivotStyleLight16"/>
  <colors>
    <mruColors>
      <color rgb="FFCCECFF"/>
      <color rgb="FFFFFF00"/>
      <color rgb="FFFFFFFF"/>
      <color rgb="FFE7F7FD"/>
      <color rgb="FF00FFCC"/>
      <color rgb="FFFFCC66"/>
      <color rgb="FFFF3399"/>
      <color rgb="FFCC66FF"/>
      <color rgb="FF6600FF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Модель доходности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'Модель доходности'!$C$3</c:f>
              <c:strCache>
                <c:ptCount val="1"/>
                <c:pt idx="0">
                  <c:v>Аэрофлот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'Модель доходности'!$C$6</c:f>
              <c:numCache>
                <c:formatCode>General</c:formatCode>
                <c:ptCount val="1"/>
                <c:pt idx="0">
                  <c:v>1.727500701086947E-2</c:v>
                </c:pt>
              </c:numCache>
            </c:numRef>
          </c:xVal>
          <c:yVal>
            <c:numRef>
              <c:f>'Модель доходности'!$C$4</c:f>
              <c:numCache>
                <c:formatCode>0.0000%</c:formatCode>
                <c:ptCount val="1"/>
                <c:pt idx="0">
                  <c:v>1.5891121635179888E-3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4CB-4DE4-9258-96D90A395FE3}"/>
            </c:ext>
          </c:extLst>
        </c:ser>
        <c:ser>
          <c:idx val="1"/>
          <c:order val="1"/>
          <c:tx>
            <c:strRef>
              <c:f>'Модель доходности'!$D$3</c:f>
              <c:strCache>
                <c:ptCount val="1"/>
                <c:pt idx="0">
                  <c:v>Газпром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66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'Модель доходности'!$D$6</c:f>
              <c:numCache>
                <c:formatCode>General</c:formatCode>
                <c:ptCount val="1"/>
                <c:pt idx="0">
                  <c:v>1.1912040372767612E-2</c:v>
                </c:pt>
              </c:numCache>
            </c:numRef>
          </c:xVal>
          <c:yVal>
            <c:numRef>
              <c:f>'Модель доходности'!$D$4</c:f>
              <c:numCache>
                <c:formatCode>0.0000%</c:formatCode>
                <c:ptCount val="1"/>
                <c:pt idx="0">
                  <c:v>3.6145201195915689E-5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4CB-4DE4-9258-96D90A395FE3}"/>
            </c:ext>
          </c:extLst>
        </c:ser>
        <c:ser>
          <c:idx val="2"/>
          <c:order val="2"/>
          <c:tx>
            <c:strRef>
              <c:f>'Модель доходности'!$E$3</c:f>
              <c:strCache>
                <c:ptCount val="1"/>
                <c:pt idx="0">
                  <c:v>МТС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6600FF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'Модель доходности'!$E$6</c:f>
              <c:numCache>
                <c:formatCode>General</c:formatCode>
                <c:ptCount val="1"/>
                <c:pt idx="0">
                  <c:v>1.4481134168731848E-2</c:v>
                </c:pt>
              </c:numCache>
            </c:numRef>
          </c:xVal>
          <c:yVal>
            <c:numRef>
              <c:f>'Модель доходности'!$E$4</c:f>
              <c:numCache>
                <c:formatCode>0.0000%</c:formatCode>
                <c:ptCount val="1"/>
                <c:pt idx="0">
                  <c:v>4.4473619750291256E-4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4CB-4DE4-9258-96D90A395FE3}"/>
            </c:ext>
          </c:extLst>
        </c:ser>
        <c:ser>
          <c:idx val="3"/>
          <c:order val="3"/>
          <c:tx>
            <c:strRef>
              <c:f>'Модель доходности'!$F$3</c:f>
              <c:strCache>
                <c:ptCount val="1"/>
                <c:pt idx="0">
                  <c:v>Роснефть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CC66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'Модель доходности'!$F$6</c:f>
              <c:numCache>
                <c:formatCode>General</c:formatCode>
                <c:ptCount val="1"/>
                <c:pt idx="0">
                  <c:v>1.3322567784791853E-2</c:v>
                </c:pt>
              </c:numCache>
            </c:numRef>
          </c:xVal>
          <c:yVal>
            <c:numRef>
              <c:f>'Модель доходности'!$F$4</c:f>
              <c:numCache>
                <c:formatCode>0.0000%</c:formatCode>
                <c:ptCount val="1"/>
                <c:pt idx="0">
                  <c:v>2.1520809966442817E-3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4CB-4DE4-9258-96D90A395FE3}"/>
            </c:ext>
          </c:extLst>
        </c:ser>
        <c:ser>
          <c:idx val="4"/>
          <c:order val="4"/>
          <c:tx>
            <c:strRef>
              <c:f>'Модель доходности'!$G$3</c:f>
              <c:strCache>
                <c:ptCount val="1"/>
                <c:pt idx="0">
                  <c:v>Сбербанк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3399"/>
              </a:solidFill>
              <a:ln w="9525">
                <a:noFill/>
              </a:ln>
              <a:effectLst/>
            </c:spPr>
          </c:marker>
          <c:xVal>
            <c:numRef>
              <c:f>'Модель доходности'!$F$6</c:f>
              <c:numCache>
                <c:formatCode>General</c:formatCode>
                <c:ptCount val="1"/>
                <c:pt idx="0">
                  <c:v>1.3322567784791853E-2</c:v>
                </c:pt>
              </c:numCache>
            </c:numRef>
          </c:xVal>
          <c:yVal>
            <c:numRef>
              <c:f>'Модель доходности'!$G$4</c:f>
              <c:numCache>
                <c:formatCode>0.0000%</c:formatCode>
                <c:ptCount val="1"/>
                <c:pt idx="0">
                  <c:v>2.6584824432780633E-3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F4CB-4DE4-9258-96D90A395FE3}"/>
            </c:ext>
          </c:extLst>
        </c:ser>
        <c:ser>
          <c:idx val="5"/>
          <c:order val="5"/>
          <c:tx>
            <c:strRef>
              <c:f>'Модель доходности'!$H$3</c:f>
              <c:strCache>
                <c:ptCount val="1"/>
                <c:pt idx="0">
                  <c:v>Башнефть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'Модель доходности'!$H$6</c:f>
              <c:numCache>
                <c:formatCode>General</c:formatCode>
                <c:ptCount val="1"/>
                <c:pt idx="0">
                  <c:v>2.2435781279807492E-2</c:v>
                </c:pt>
              </c:numCache>
            </c:numRef>
          </c:xVal>
          <c:yVal>
            <c:numRef>
              <c:f>'Модель доходности'!$H$4</c:f>
              <c:numCache>
                <c:formatCode>0.0000%</c:formatCode>
                <c:ptCount val="1"/>
                <c:pt idx="0">
                  <c:v>3.6185148452593384E-3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F4CB-4DE4-9258-96D90A395FE3}"/>
            </c:ext>
          </c:extLst>
        </c:ser>
        <c:ser>
          <c:idx val="6"/>
          <c:order val="6"/>
          <c:tx>
            <c:strRef>
              <c:f>'Модель доходности'!$I$3</c:f>
              <c:strCache>
                <c:ptCount val="1"/>
                <c:pt idx="0">
                  <c:v>М.видео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'Модель доходности'!$I$6</c:f>
              <c:numCache>
                <c:formatCode>General</c:formatCode>
                <c:ptCount val="1"/>
                <c:pt idx="0">
                  <c:v>1.8684097021314825E-2</c:v>
                </c:pt>
              </c:numCache>
            </c:numRef>
          </c:xVal>
          <c:yVal>
            <c:numRef>
              <c:f>'Модель доходности'!$I$4</c:f>
              <c:numCache>
                <c:formatCode>0.0000%</c:formatCode>
                <c:ptCount val="1"/>
                <c:pt idx="0">
                  <c:v>3.9183445530558499E-4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F4CB-4DE4-9258-96D90A395FE3}"/>
            </c:ext>
          </c:extLst>
        </c:ser>
        <c:ser>
          <c:idx val="7"/>
          <c:order val="7"/>
          <c:tx>
            <c:strRef>
              <c:f>'Модель доходности'!$J$3</c:f>
              <c:strCache>
                <c:ptCount val="1"/>
                <c:pt idx="0">
                  <c:v>ПИК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FFCC"/>
              </a:solidFill>
              <a:ln w="9525">
                <a:noFill/>
              </a:ln>
              <a:effectLst/>
            </c:spPr>
          </c:marker>
          <c:xVal>
            <c:numRef>
              <c:f>'Модель доходности'!$J$6</c:f>
              <c:numCache>
                <c:formatCode>General</c:formatCode>
                <c:ptCount val="1"/>
                <c:pt idx="0">
                  <c:v>1.602149886272887E-2</c:v>
                </c:pt>
              </c:numCache>
            </c:numRef>
          </c:xVal>
          <c:yVal>
            <c:numRef>
              <c:f>'Модель доходности'!$J$4</c:f>
              <c:numCache>
                <c:formatCode>0.0000%</c:formatCode>
                <c:ptCount val="1"/>
                <c:pt idx="0">
                  <c:v>5.9800717111760512E-4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F4CB-4DE4-9258-96D90A395FE3}"/>
            </c:ext>
          </c:extLst>
        </c:ser>
        <c:ser>
          <c:idx val="8"/>
          <c:order val="8"/>
          <c:tx>
            <c:strRef>
              <c:f>'Модель доходности'!$K$3</c:f>
              <c:strCache>
                <c:ptCount val="1"/>
                <c:pt idx="0">
                  <c:v>Татнефть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FF00"/>
              </a:solidFill>
              <a:ln w="9525">
                <a:noFill/>
              </a:ln>
              <a:effectLst/>
            </c:spPr>
          </c:marker>
          <c:xVal>
            <c:numRef>
              <c:f>'Модель доходности'!$K$6</c:f>
              <c:numCache>
                <c:formatCode>General</c:formatCode>
                <c:ptCount val="1"/>
                <c:pt idx="0">
                  <c:v>1.3509090390417318E-2</c:v>
                </c:pt>
              </c:numCache>
            </c:numRef>
          </c:xVal>
          <c:yVal>
            <c:numRef>
              <c:f>'Модель доходности'!$K$4</c:f>
              <c:numCache>
                <c:formatCode>0.0000%</c:formatCode>
                <c:ptCount val="1"/>
                <c:pt idx="0">
                  <c:v>2.351985378806847E-3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F4CB-4DE4-9258-96D90A395F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8414975"/>
        <c:axId val="362255392"/>
      </c:scatterChart>
      <c:valAx>
        <c:axId val="15984149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 Риск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62255392"/>
        <c:crosses val="autoZero"/>
        <c:crossBetween val="midCat"/>
      </c:valAx>
      <c:valAx>
        <c:axId val="362255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Доходность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984149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Линия</a:t>
            </a:r>
            <a:r>
              <a:rPr lang="ru-RU" baseline="0"/>
              <a:t> эффективных портфелей</a:t>
            </a:r>
            <a:endParaRPr lang="ru-RU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8255960627542827E-2"/>
          <c:y val="8.1591236537145992E-2"/>
          <c:w val="0.79962151765871237"/>
          <c:h val="0.77902493537061446"/>
        </c:manualLayout>
      </c:layout>
      <c:scatterChart>
        <c:scatterStyle val="lineMarker"/>
        <c:varyColors val="0"/>
        <c:ser>
          <c:idx val="9"/>
          <c:order val="0"/>
          <c:xVal>
            <c:numRef>
              <c:f>'Линия эффективных портфелей'!$C$35:$L$35</c:f>
              <c:numCache>
                <c:formatCode>General</c:formatCode>
                <c:ptCount val="10"/>
                <c:pt idx="0">
                  <c:v>1.1912040372767612E-2</c:v>
                </c:pt>
                <c:pt idx="1">
                  <c:v>9.8083691636134084E-3</c:v>
                </c:pt>
                <c:pt idx="2">
                  <c:v>9.5558459543318205E-3</c:v>
                </c:pt>
                <c:pt idx="3">
                  <c:v>9.5555198117357014E-3</c:v>
                </c:pt>
                <c:pt idx="4">
                  <c:v>9.7763529226226262E-3</c:v>
                </c:pt>
                <c:pt idx="5">
                  <c:v>1.0207521771389061E-2</c:v>
                </c:pt>
                <c:pt idx="6">
                  <c:v>1.0831763503812247E-2</c:v>
                </c:pt>
                <c:pt idx="7">
                  <c:v>1.2215944139803585E-2</c:v>
                </c:pt>
                <c:pt idx="8">
                  <c:v>1.5860378603989807E-2</c:v>
                </c:pt>
                <c:pt idx="9">
                  <c:v>2.2391397625455268E-2</c:v>
                </c:pt>
              </c:numCache>
            </c:numRef>
          </c:xVal>
          <c:yVal>
            <c:numRef>
              <c:f>'Линия эффективных портфелей'!$C$34:$L$34</c:f>
              <c:numCache>
                <c:formatCode>0.0000%</c:formatCode>
                <c:ptCount val="10"/>
                <c:pt idx="0">
                  <c:v>3.6145201195915689E-5</c:v>
                </c:pt>
                <c:pt idx="1">
                  <c:v>4.3418627275851817E-4</c:v>
                </c:pt>
                <c:pt idx="2">
                  <c:v>8.3222734432112071E-4</c:v>
                </c:pt>
                <c:pt idx="3">
                  <c:v>1.2302684158837231E-3</c:v>
                </c:pt>
                <c:pt idx="4">
                  <c:v>1.6283094874463256E-3</c:v>
                </c:pt>
                <c:pt idx="5">
                  <c:v>2.0263505590089282E-3</c:v>
                </c:pt>
                <c:pt idx="6">
                  <c:v>2.4243916305715309E-3</c:v>
                </c:pt>
                <c:pt idx="7">
                  <c:v>2.8224327021341335E-3</c:v>
                </c:pt>
                <c:pt idx="8">
                  <c:v>3.2204737736967362E-3</c:v>
                </c:pt>
                <c:pt idx="9">
                  <c:v>3.6185148452593384E-3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8667-4107-89C8-0D185D76CA26}"/>
            </c:ext>
          </c:extLst>
        </c:ser>
        <c:ser>
          <c:idx val="0"/>
          <c:order val="1"/>
          <c:tx>
            <c:strRef>
              <c:f>'Модель доходности'!$C$3</c:f>
              <c:strCache>
                <c:ptCount val="1"/>
                <c:pt idx="0">
                  <c:v>Аэрофлот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'Модель доходности'!$C$6</c:f>
              <c:numCache>
                <c:formatCode>General</c:formatCode>
                <c:ptCount val="1"/>
                <c:pt idx="0">
                  <c:v>1.727500701086947E-2</c:v>
                </c:pt>
              </c:numCache>
            </c:numRef>
          </c:xVal>
          <c:yVal>
            <c:numRef>
              <c:f>'Модель доходности'!$C$4</c:f>
              <c:numCache>
                <c:formatCode>0.0000%</c:formatCode>
                <c:ptCount val="1"/>
                <c:pt idx="0">
                  <c:v>1.5891121635179888E-3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667-4107-89C8-0D185D76CA26}"/>
            </c:ext>
          </c:extLst>
        </c:ser>
        <c:ser>
          <c:idx val="1"/>
          <c:order val="2"/>
          <c:tx>
            <c:strRef>
              <c:f>'Модель доходности'!$D$3</c:f>
              <c:strCache>
                <c:ptCount val="1"/>
                <c:pt idx="0">
                  <c:v>Газпром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66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'Модель доходности'!$D$6</c:f>
              <c:numCache>
                <c:formatCode>General</c:formatCode>
                <c:ptCount val="1"/>
                <c:pt idx="0">
                  <c:v>1.1912040372767612E-2</c:v>
                </c:pt>
              </c:numCache>
            </c:numRef>
          </c:xVal>
          <c:yVal>
            <c:numRef>
              <c:f>'Модель доходности'!$D$4</c:f>
              <c:numCache>
                <c:formatCode>0.0000%</c:formatCode>
                <c:ptCount val="1"/>
                <c:pt idx="0">
                  <c:v>3.6145201195915689E-5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667-4107-89C8-0D185D76CA26}"/>
            </c:ext>
          </c:extLst>
        </c:ser>
        <c:ser>
          <c:idx val="2"/>
          <c:order val="3"/>
          <c:tx>
            <c:strRef>
              <c:f>'Модель доходности'!$E$3</c:f>
              <c:strCache>
                <c:ptCount val="1"/>
                <c:pt idx="0">
                  <c:v>МТС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6600FF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'Модель доходности'!$E$6</c:f>
              <c:numCache>
                <c:formatCode>General</c:formatCode>
                <c:ptCount val="1"/>
                <c:pt idx="0">
                  <c:v>1.4481134168731848E-2</c:v>
                </c:pt>
              </c:numCache>
            </c:numRef>
          </c:xVal>
          <c:yVal>
            <c:numRef>
              <c:f>'Модель доходности'!$E$4</c:f>
              <c:numCache>
                <c:formatCode>0.0000%</c:formatCode>
                <c:ptCount val="1"/>
                <c:pt idx="0">
                  <c:v>4.4473619750291256E-4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667-4107-89C8-0D185D76CA26}"/>
            </c:ext>
          </c:extLst>
        </c:ser>
        <c:ser>
          <c:idx val="3"/>
          <c:order val="4"/>
          <c:tx>
            <c:strRef>
              <c:f>'Модель доходности'!$F$3</c:f>
              <c:strCache>
                <c:ptCount val="1"/>
                <c:pt idx="0">
                  <c:v>Роснефть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CC66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'Модель доходности'!$F$6</c:f>
              <c:numCache>
                <c:formatCode>General</c:formatCode>
                <c:ptCount val="1"/>
                <c:pt idx="0">
                  <c:v>1.3322567784791853E-2</c:v>
                </c:pt>
              </c:numCache>
            </c:numRef>
          </c:xVal>
          <c:yVal>
            <c:numRef>
              <c:f>'Модель доходности'!$F$4</c:f>
              <c:numCache>
                <c:formatCode>0.0000%</c:formatCode>
                <c:ptCount val="1"/>
                <c:pt idx="0">
                  <c:v>2.1520809966442817E-3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667-4107-89C8-0D185D76CA26}"/>
            </c:ext>
          </c:extLst>
        </c:ser>
        <c:ser>
          <c:idx val="4"/>
          <c:order val="5"/>
          <c:tx>
            <c:strRef>
              <c:f>'Модель доходности'!$G$3</c:f>
              <c:strCache>
                <c:ptCount val="1"/>
                <c:pt idx="0">
                  <c:v>Сбербанк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3399"/>
              </a:solidFill>
              <a:ln w="9525">
                <a:noFill/>
              </a:ln>
              <a:effectLst/>
            </c:spPr>
          </c:marker>
          <c:xVal>
            <c:numRef>
              <c:f>'Модель доходности'!$F$6</c:f>
              <c:numCache>
                <c:formatCode>General</c:formatCode>
                <c:ptCount val="1"/>
                <c:pt idx="0">
                  <c:v>1.3322567784791853E-2</c:v>
                </c:pt>
              </c:numCache>
            </c:numRef>
          </c:xVal>
          <c:yVal>
            <c:numRef>
              <c:f>'Модель доходности'!$G$4</c:f>
              <c:numCache>
                <c:formatCode>0.0000%</c:formatCode>
                <c:ptCount val="1"/>
                <c:pt idx="0">
                  <c:v>2.6584824432780633E-3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667-4107-89C8-0D185D76CA26}"/>
            </c:ext>
          </c:extLst>
        </c:ser>
        <c:ser>
          <c:idx val="5"/>
          <c:order val="6"/>
          <c:tx>
            <c:strRef>
              <c:f>'Модель доходности'!$H$3</c:f>
              <c:strCache>
                <c:ptCount val="1"/>
                <c:pt idx="0">
                  <c:v>Башнефть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'Модель доходности'!$H$6</c:f>
              <c:numCache>
                <c:formatCode>General</c:formatCode>
                <c:ptCount val="1"/>
                <c:pt idx="0">
                  <c:v>2.2435781279807492E-2</c:v>
                </c:pt>
              </c:numCache>
            </c:numRef>
          </c:xVal>
          <c:yVal>
            <c:numRef>
              <c:f>'Модель доходности'!$H$4</c:f>
              <c:numCache>
                <c:formatCode>0.0000%</c:formatCode>
                <c:ptCount val="1"/>
                <c:pt idx="0">
                  <c:v>3.6185148452593384E-3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8667-4107-89C8-0D185D76CA26}"/>
            </c:ext>
          </c:extLst>
        </c:ser>
        <c:ser>
          <c:idx val="6"/>
          <c:order val="7"/>
          <c:tx>
            <c:strRef>
              <c:f>'Модель доходности'!$I$3</c:f>
              <c:strCache>
                <c:ptCount val="1"/>
                <c:pt idx="0">
                  <c:v>М.видео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'Модель доходности'!$I$6</c:f>
              <c:numCache>
                <c:formatCode>General</c:formatCode>
                <c:ptCount val="1"/>
                <c:pt idx="0">
                  <c:v>1.8684097021314825E-2</c:v>
                </c:pt>
              </c:numCache>
            </c:numRef>
          </c:xVal>
          <c:yVal>
            <c:numRef>
              <c:f>'Модель доходности'!$I$4</c:f>
              <c:numCache>
                <c:formatCode>0.0000%</c:formatCode>
                <c:ptCount val="1"/>
                <c:pt idx="0">
                  <c:v>3.9183445530558499E-4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8667-4107-89C8-0D185D76CA26}"/>
            </c:ext>
          </c:extLst>
        </c:ser>
        <c:ser>
          <c:idx val="7"/>
          <c:order val="8"/>
          <c:tx>
            <c:strRef>
              <c:f>'Модель доходности'!$J$3</c:f>
              <c:strCache>
                <c:ptCount val="1"/>
                <c:pt idx="0">
                  <c:v>ПИК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FFCC"/>
              </a:solidFill>
              <a:ln w="9525">
                <a:noFill/>
              </a:ln>
              <a:effectLst/>
            </c:spPr>
          </c:marker>
          <c:xVal>
            <c:numRef>
              <c:f>'Модель доходности'!$J$6</c:f>
              <c:numCache>
                <c:formatCode>General</c:formatCode>
                <c:ptCount val="1"/>
                <c:pt idx="0">
                  <c:v>1.602149886272887E-2</c:v>
                </c:pt>
              </c:numCache>
            </c:numRef>
          </c:xVal>
          <c:yVal>
            <c:numRef>
              <c:f>'Модель доходности'!$J$4</c:f>
              <c:numCache>
                <c:formatCode>0.0000%</c:formatCode>
                <c:ptCount val="1"/>
                <c:pt idx="0">
                  <c:v>5.9800717111760512E-4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8667-4107-89C8-0D185D76CA26}"/>
            </c:ext>
          </c:extLst>
        </c:ser>
        <c:ser>
          <c:idx val="8"/>
          <c:order val="9"/>
          <c:tx>
            <c:strRef>
              <c:f>'Модель доходности'!$K$3</c:f>
              <c:strCache>
                <c:ptCount val="1"/>
                <c:pt idx="0">
                  <c:v>Татнефть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FF00"/>
              </a:solidFill>
              <a:ln w="9525">
                <a:noFill/>
              </a:ln>
              <a:effectLst/>
            </c:spPr>
          </c:marker>
          <c:xVal>
            <c:numRef>
              <c:f>'Модель доходности'!$K$6</c:f>
              <c:numCache>
                <c:formatCode>General</c:formatCode>
                <c:ptCount val="1"/>
                <c:pt idx="0">
                  <c:v>1.3509090390417318E-2</c:v>
                </c:pt>
              </c:numCache>
            </c:numRef>
          </c:xVal>
          <c:yVal>
            <c:numRef>
              <c:f>'Модель доходности'!$K$4</c:f>
              <c:numCache>
                <c:formatCode>0.0000%</c:formatCode>
                <c:ptCount val="1"/>
                <c:pt idx="0">
                  <c:v>2.351985378806847E-3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8667-4107-89C8-0D185D76CA26}"/>
            </c:ext>
          </c:extLst>
        </c:ser>
        <c:ser>
          <c:idx val="10"/>
          <c:order val="10"/>
          <c:tx>
            <c:v>точка мин.портфеля</c:v>
          </c:tx>
          <c:xVal>
            <c:numRef>
              <c:f>'Линия эффективных портфелей'!$P$18</c:f>
              <c:numCache>
                <c:formatCode>General</c:formatCode>
                <c:ptCount val="1"/>
                <c:pt idx="0">
                  <c:v>9.3083674477582781E-3</c:v>
                </c:pt>
              </c:numCache>
            </c:numRef>
          </c:xVal>
          <c:yVal>
            <c:numRef>
              <c:f>'Линия эффективных портфелей'!$P$19</c:f>
              <c:numCache>
                <c:formatCode>General</c:formatCode>
                <c:ptCount val="1"/>
                <c:pt idx="0">
                  <c:v>8.4773785843107665E-4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9B3-4DBE-88C0-38328E4F9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8414975"/>
        <c:axId val="362255392"/>
      </c:scatterChart>
      <c:valAx>
        <c:axId val="15984149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 Риск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62255392"/>
        <c:crosses val="autoZero"/>
        <c:crossBetween val="midCat"/>
      </c:valAx>
      <c:valAx>
        <c:axId val="362255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Доходность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98414975"/>
        <c:crosses val="autoZero"/>
        <c:crossBetween val="midCat"/>
      </c:valAx>
    </c:plotArea>
    <c:legend>
      <c:legendPos val="r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SML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SML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SML!$D$18:$D$19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xVal>
          <c:yVal>
            <c:numRef>
              <c:f>SML!$C$18:$C$19</c:f>
              <c:numCache>
                <c:formatCode>0.0000%</c:formatCode>
                <c:ptCount val="2"/>
                <c:pt idx="0" formatCode="0.000%">
                  <c:v>2.3893387408413337E-4</c:v>
                </c:pt>
                <c:pt idx="1">
                  <c:v>4.2616391411383803E-4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C7-45D1-ABC4-4F0CF7107636}"/>
            </c:ext>
          </c:extLst>
        </c:ser>
        <c:ser>
          <c:idx val="1"/>
          <c:order val="1"/>
          <c:tx>
            <c:strRef>
              <c:f>SML!$B$5</c:f>
              <c:strCache>
                <c:ptCount val="1"/>
                <c:pt idx="0">
                  <c:v>Аэрофлот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SML!$C$5</c:f>
              <c:numCache>
                <c:formatCode>General</c:formatCode>
                <c:ptCount val="1"/>
                <c:pt idx="0">
                  <c:v>0.60898631883966825</c:v>
                </c:pt>
              </c:numCache>
            </c:numRef>
          </c:xVal>
          <c:yVal>
            <c:numRef>
              <c:f>SML!$D$5</c:f>
              <c:numCache>
                <c:formatCode>0.0000%</c:formatCode>
                <c:ptCount val="1"/>
                <c:pt idx="0">
                  <c:v>1.5891121635179888E-3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CC7-45D1-ABC4-4F0CF7107636}"/>
            </c:ext>
          </c:extLst>
        </c:ser>
        <c:ser>
          <c:idx val="2"/>
          <c:order val="2"/>
          <c:tx>
            <c:strRef>
              <c:f>SML!$B$6</c:f>
              <c:strCache>
                <c:ptCount val="1"/>
                <c:pt idx="0">
                  <c:v>Газпром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SML!$C$6</c:f>
              <c:numCache>
                <c:formatCode>General</c:formatCode>
                <c:ptCount val="1"/>
                <c:pt idx="0">
                  <c:v>0.48315394743410861</c:v>
                </c:pt>
              </c:numCache>
            </c:numRef>
          </c:xVal>
          <c:yVal>
            <c:numRef>
              <c:f>SML!$D$6</c:f>
              <c:numCache>
                <c:formatCode>0.0000%</c:formatCode>
                <c:ptCount val="1"/>
                <c:pt idx="0">
                  <c:v>3.6145201195915689E-5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CC7-45D1-ABC4-4F0CF7107636}"/>
            </c:ext>
          </c:extLst>
        </c:ser>
        <c:ser>
          <c:idx val="3"/>
          <c:order val="3"/>
          <c:tx>
            <c:strRef>
              <c:f>SML!$B$7</c:f>
              <c:strCache>
                <c:ptCount val="1"/>
                <c:pt idx="0">
                  <c:v>МТС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SML!$C$7</c:f>
              <c:numCache>
                <c:formatCode>General</c:formatCode>
                <c:ptCount val="1"/>
                <c:pt idx="0">
                  <c:v>0.37711523601625502</c:v>
                </c:pt>
              </c:numCache>
            </c:numRef>
          </c:xVal>
          <c:yVal>
            <c:numRef>
              <c:f>SML!$D$7</c:f>
              <c:numCache>
                <c:formatCode>0.0000%</c:formatCode>
                <c:ptCount val="1"/>
                <c:pt idx="0">
                  <c:v>4.4473619750291256E-4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CC7-45D1-ABC4-4F0CF7107636}"/>
            </c:ext>
          </c:extLst>
        </c:ser>
        <c:ser>
          <c:idx val="4"/>
          <c:order val="4"/>
          <c:tx>
            <c:strRef>
              <c:f>SML!$B$8</c:f>
              <c:strCache>
                <c:ptCount val="1"/>
                <c:pt idx="0">
                  <c:v>Роснефть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SML!$C$8</c:f>
              <c:numCache>
                <c:formatCode>General</c:formatCode>
                <c:ptCount val="1"/>
                <c:pt idx="0">
                  <c:v>0.28278370261177593</c:v>
                </c:pt>
              </c:numCache>
            </c:numRef>
          </c:xVal>
          <c:yVal>
            <c:numRef>
              <c:f>SML!$D$8</c:f>
              <c:numCache>
                <c:formatCode>0.0000%</c:formatCode>
                <c:ptCount val="1"/>
                <c:pt idx="0">
                  <c:v>2.1520809966442817E-3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CC7-45D1-ABC4-4F0CF7107636}"/>
            </c:ext>
          </c:extLst>
        </c:ser>
        <c:ser>
          <c:idx val="5"/>
          <c:order val="5"/>
          <c:tx>
            <c:strRef>
              <c:f>SML!$B$9</c:f>
              <c:strCache>
                <c:ptCount val="1"/>
                <c:pt idx="0">
                  <c:v>Сбербанк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SML!$C$9</c:f>
              <c:numCache>
                <c:formatCode>General</c:formatCode>
                <c:ptCount val="1"/>
                <c:pt idx="0">
                  <c:v>0.59426715307580391</c:v>
                </c:pt>
              </c:numCache>
            </c:numRef>
          </c:xVal>
          <c:yVal>
            <c:numRef>
              <c:f>SML!$D$9</c:f>
              <c:numCache>
                <c:formatCode>0.0000%</c:formatCode>
                <c:ptCount val="1"/>
                <c:pt idx="0">
                  <c:v>2.6584824432780633E-3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CC7-45D1-ABC4-4F0CF7107636}"/>
            </c:ext>
          </c:extLst>
        </c:ser>
        <c:ser>
          <c:idx val="6"/>
          <c:order val="6"/>
          <c:tx>
            <c:strRef>
              <c:f>SML!$B$10</c:f>
              <c:strCache>
                <c:ptCount val="1"/>
                <c:pt idx="0">
                  <c:v>Башнефть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SML!$C$10</c:f>
              <c:numCache>
                <c:formatCode>General</c:formatCode>
                <c:ptCount val="1"/>
                <c:pt idx="0">
                  <c:v>0.43498799602580984</c:v>
                </c:pt>
              </c:numCache>
            </c:numRef>
          </c:xVal>
          <c:yVal>
            <c:numRef>
              <c:f>SML!$D$10</c:f>
              <c:numCache>
                <c:formatCode>0.0000%</c:formatCode>
                <c:ptCount val="1"/>
                <c:pt idx="0">
                  <c:v>3.6185148452593384E-3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3CC7-45D1-ABC4-4F0CF7107636}"/>
            </c:ext>
          </c:extLst>
        </c:ser>
        <c:ser>
          <c:idx val="7"/>
          <c:order val="7"/>
          <c:tx>
            <c:strRef>
              <c:f>SML!$B$11</c:f>
              <c:strCache>
                <c:ptCount val="1"/>
                <c:pt idx="0">
                  <c:v>М.видео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SML!$C$10</c:f>
              <c:numCache>
                <c:formatCode>General</c:formatCode>
                <c:ptCount val="1"/>
                <c:pt idx="0">
                  <c:v>0.43498799602580984</c:v>
                </c:pt>
              </c:numCache>
            </c:numRef>
          </c:xVal>
          <c:yVal>
            <c:numRef>
              <c:f>SML!$D$10</c:f>
              <c:numCache>
                <c:formatCode>0.0000%</c:formatCode>
                <c:ptCount val="1"/>
                <c:pt idx="0">
                  <c:v>3.6185148452593384E-3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3CC7-45D1-ABC4-4F0CF7107636}"/>
            </c:ext>
          </c:extLst>
        </c:ser>
        <c:ser>
          <c:idx val="8"/>
          <c:order val="8"/>
          <c:tx>
            <c:strRef>
              <c:f>SML!$B$11</c:f>
              <c:strCache>
                <c:ptCount val="1"/>
                <c:pt idx="0">
                  <c:v>М.видео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SML!$C$11</c:f>
              <c:numCache>
                <c:formatCode>General</c:formatCode>
                <c:ptCount val="1"/>
                <c:pt idx="0">
                  <c:v>0.5498994479939241</c:v>
                </c:pt>
              </c:numCache>
            </c:numRef>
          </c:xVal>
          <c:yVal>
            <c:numRef>
              <c:f>SML!$D$11</c:f>
              <c:numCache>
                <c:formatCode>0.0000%</c:formatCode>
                <c:ptCount val="1"/>
                <c:pt idx="0">
                  <c:v>3.9183445530558499E-4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3CC7-45D1-ABC4-4F0CF7107636}"/>
            </c:ext>
          </c:extLst>
        </c:ser>
        <c:ser>
          <c:idx val="9"/>
          <c:order val="9"/>
          <c:tx>
            <c:strRef>
              <c:f>SML!$B$12</c:f>
              <c:strCache>
                <c:ptCount val="1"/>
                <c:pt idx="0">
                  <c:v>ПИК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SML!$C$12</c:f>
              <c:numCache>
                <c:formatCode>General</c:formatCode>
                <c:ptCount val="1"/>
                <c:pt idx="0">
                  <c:v>0.37247204264684497</c:v>
                </c:pt>
              </c:numCache>
            </c:numRef>
          </c:xVal>
          <c:yVal>
            <c:numRef>
              <c:f>SML!$D$12</c:f>
              <c:numCache>
                <c:formatCode>0.0000%</c:formatCode>
                <c:ptCount val="1"/>
                <c:pt idx="0">
                  <c:v>5.9800717111760512E-4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3CC7-45D1-ABC4-4F0CF7107636}"/>
            </c:ext>
          </c:extLst>
        </c:ser>
        <c:ser>
          <c:idx val="10"/>
          <c:order val="10"/>
          <c:tx>
            <c:strRef>
              <c:f>SML!$B$13</c:f>
              <c:strCache>
                <c:ptCount val="1"/>
                <c:pt idx="0">
                  <c:v>Татнефть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SML!$C$13</c:f>
              <c:numCache>
                <c:formatCode>General</c:formatCode>
                <c:ptCount val="1"/>
                <c:pt idx="0">
                  <c:v>0.32111290212455218</c:v>
                </c:pt>
              </c:numCache>
            </c:numRef>
          </c:xVal>
          <c:yVal>
            <c:numRef>
              <c:f>SML!$D$13</c:f>
              <c:numCache>
                <c:formatCode>0.0000%</c:formatCode>
                <c:ptCount val="1"/>
                <c:pt idx="0">
                  <c:v>2.351985378806847E-3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3CC7-45D1-ABC4-4F0CF71076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3656544"/>
        <c:axId val="359881328"/>
      </c:scatterChart>
      <c:valAx>
        <c:axId val="9336565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Б</a:t>
                </a:r>
              </a:p>
              <a:p>
                <a:pPr>
                  <a:defRPr/>
                </a:pPr>
                <a:r>
                  <a:rPr lang="ru-RU"/>
                  <a:t>Бетта-коэффициент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59881328"/>
        <c:crosses val="autoZero"/>
        <c:crossBetween val="midCat"/>
      </c:valAx>
      <c:valAx>
        <c:axId val="35988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Доходность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336565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385482</xdr:colOff>
      <xdr:row>7</xdr:row>
      <xdr:rowOff>152959</xdr:rowOff>
    </xdr:from>
    <xdr:to>
      <xdr:col>9</xdr:col>
      <xdr:colOff>171450</xdr:colOff>
      <xdr:row>30</xdr:row>
      <xdr:rowOff>28574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D4C5C68B-07F9-3173-A7CE-237E8F5463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</xdr:colOff>
      <xdr:row>2</xdr:row>
      <xdr:rowOff>172451</xdr:rowOff>
    </xdr:from>
    <xdr:to>
      <xdr:col>33</xdr:col>
      <xdr:colOff>307474</xdr:colOff>
      <xdr:row>28</xdr:row>
      <xdr:rowOff>53474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E3277217-FE16-19E8-DBB5-ED33831F70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601980</xdr:colOff>
      <xdr:row>0</xdr:row>
      <xdr:rowOff>171450</xdr:rowOff>
    </xdr:from>
    <xdr:to>
      <xdr:col>16</xdr:col>
      <xdr:colOff>60960</xdr:colOff>
      <xdr:row>19</xdr:row>
      <xdr:rowOff>167640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D0884036-63A4-7670-E0CB-9D1EBBE929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257"/>
  <sheetViews>
    <sheetView zoomScale="84" zoomScaleNormal="60" workbookViewId="0">
      <selection activeCell="L3" sqref="L3"/>
    </sheetView>
  </sheetViews>
  <sheetFormatPr defaultRowHeight="13.8" x14ac:dyDescent="0.25"/>
  <cols>
    <col min="1" max="1" width="12.21875" style="2" customWidth="1"/>
    <col min="2" max="2" width="15.109375" style="2" bestFit="1" customWidth="1"/>
    <col min="3" max="3" width="13.6640625" style="2" customWidth="1"/>
    <col min="4" max="4" width="10.5546875" style="2" customWidth="1"/>
    <col min="5" max="5" width="10.21875" style="2" customWidth="1"/>
    <col min="6" max="6" width="11.109375" style="2" customWidth="1"/>
    <col min="7" max="7" width="12.109375" style="2" customWidth="1"/>
    <col min="8" max="8" width="10.44140625" style="2" customWidth="1"/>
    <col min="9" max="9" width="8.88671875" style="2"/>
    <col min="10" max="10" width="10.109375" style="2" customWidth="1"/>
    <col min="11" max="11" width="12.44140625" style="2" customWidth="1"/>
    <col min="12" max="12" width="16.109375" style="18" customWidth="1"/>
    <col min="13" max="16384" width="8.88671875" style="2"/>
  </cols>
  <sheetData>
    <row r="2" spans="1:12" ht="15.6" x14ac:dyDescent="0.3">
      <c r="A2" s="1"/>
      <c r="B2" s="53" t="s">
        <v>11</v>
      </c>
      <c r="C2" s="53"/>
      <c r="D2" s="53"/>
      <c r="E2" s="53"/>
      <c r="F2" s="53"/>
      <c r="G2" s="53"/>
      <c r="H2" s="53"/>
      <c r="I2" s="53"/>
      <c r="J2" s="53"/>
      <c r="K2" s="11"/>
      <c r="L2" s="19"/>
    </row>
    <row r="3" spans="1:12" ht="31.2" customHeight="1" x14ac:dyDescent="0.25">
      <c r="A3" s="3" t="s">
        <v>0</v>
      </c>
      <c r="B3" s="3" t="s">
        <v>3</v>
      </c>
      <c r="C3" s="3" t="s">
        <v>4</v>
      </c>
      <c r="D3" s="4" t="s">
        <v>5</v>
      </c>
      <c r="E3" s="3" t="s">
        <v>1</v>
      </c>
      <c r="F3" s="5" t="s">
        <v>6</v>
      </c>
      <c r="G3" s="3" t="s">
        <v>7</v>
      </c>
      <c r="H3" s="3" t="s">
        <v>8</v>
      </c>
      <c r="I3" s="5" t="s">
        <v>2</v>
      </c>
      <c r="J3" s="3" t="s">
        <v>9</v>
      </c>
      <c r="K3" s="5" t="s">
        <v>10</v>
      </c>
      <c r="L3" s="20" t="s">
        <v>13</v>
      </c>
    </row>
    <row r="4" spans="1:12" x14ac:dyDescent="0.25">
      <c r="A4" s="6">
        <v>45268</v>
      </c>
      <c r="B4" s="7">
        <v>35.659999999999997</v>
      </c>
      <c r="C4" s="7">
        <v>161.5</v>
      </c>
      <c r="D4" s="7">
        <v>251.75</v>
      </c>
      <c r="E4" s="7">
        <v>564.70000000000005</v>
      </c>
      <c r="F4" s="8">
        <v>265.16000000000003</v>
      </c>
      <c r="G4" s="7">
        <v>2175.5</v>
      </c>
      <c r="H4" s="7">
        <v>176.1</v>
      </c>
      <c r="I4" s="8">
        <v>668.4</v>
      </c>
      <c r="J4" s="7">
        <v>637.70000000000005</v>
      </c>
      <c r="K4" s="8">
        <v>1054.28</v>
      </c>
      <c r="L4" s="17">
        <v>0.12330000000000001</v>
      </c>
    </row>
    <row r="5" spans="1:12" x14ac:dyDescent="0.25">
      <c r="A5" s="6">
        <v>45267</v>
      </c>
      <c r="B5" s="7">
        <v>34.94</v>
      </c>
      <c r="C5" s="7">
        <v>163.38</v>
      </c>
      <c r="D5" s="7">
        <v>251.65</v>
      </c>
      <c r="E5" s="7">
        <v>560.6</v>
      </c>
      <c r="F5" s="8">
        <v>265.12</v>
      </c>
      <c r="G5" s="7">
        <v>2180</v>
      </c>
      <c r="H5" s="7">
        <v>173.5</v>
      </c>
      <c r="I5" s="8">
        <v>655.5</v>
      </c>
      <c r="J5" s="7">
        <v>626.20000000000005</v>
      </c>
      <c r="K5" s="8">
        <v>1051.21</v>
      </c>
      <c r="L5" s="17">
        <v>0.1236</v>
      </c>
    </row>
    <row r="6" spans="1:12" x14ac:dyDescent="0.25">
      <c r="A6" s="6">
        <v>45266</v>
      </c>
      <c r="B6" s="7">
        <v>35.24</v>
      </c>
      <c r="C6" s="7">
        <v>158.74</v>
      </c>
      <c r="D6" s="7">
        <v>248.2</v>
      </c>
      <c r="E6" s="7">
        <v>565.54999999999995</v>
      </c>
      <c r="F6" s="8">
        <v>267.58</v>
      </c>
      <c r="G6" s="7">
        <v>2179</v>
      </c>
      <c r="H6" s="7">
        <v>173.4</v>
      </c>
      <c r="I6" s="8">
        <v>658.6</v>
      </c>
      <c r="J6" s="7">
        <v>622.20000000000005</v>
      </c>
      <c r="K6" s="8">
        <v>1045.28</v>
      </c>
      <c r="L6" s="17">
        <v>0.1232</v>
      </c>
    </row>
    <row r="7" spans="1:12" x14ac:dyDescent="0.25">
      <c r="A7" s="6">
        <v>45265</v>
      </c>
      <c r="B7" s="7">
        <v>36.06</v>
      </c>
      <c r="C7" s="7">
        <v>160.46</v>
      </c>
      <c r="D7" s="7">
        <v>253.45</v>
      </c>
      <c r="E7" s="7">
        <v>574.35</v>
      </c>
      <c r="F7" s="8">
        <v>279.62</v>
      </c>
      <c r="G7" s="7">
        <v>2246</v>
      </c>
      <c r="H7" s="7">
        <v>175.4</v>
      </c>
      <c r="I7" s="8">
        <v>676</v>
      </c>
      <c r="J7" s="7">
        <v>635.20000000000005</v>
      </c>
      <c r="K7" s="8">
        <v>1066.1300000000001</v>
      </c>
      <c r="L7" s="17">
        <v>0.1246</v>
      </c>
    </row>
    <row r="8" spans="1:12" x14ac:dyDescent="0.25">
      <c r="A8" s="6">
        <v>45264</v>
      </c>
      <c r="B8" s="7">
        <v>35.799999999999997</v>
      </c>
      <c r="C8" s="7">
        <v>160.01</v>
      </c>
      <c r="D8" s="7">
        <v>248.75</v>
      </c>
      <c r="E8" s="7">
        <v>565</v>
      </c>
      <c r="F8" s="8">
        <v>270.95999999999998</v>
      </c>
      <c r="G8" s="7">
        <v>2180</v>
      </c>
      <c r="H8" s="7">
        <v>166.3</v>
      </c>
      <c r="I8" s="8">
        <v>666.5</v>
      </c>
      <c r="J8" s="7">
        <v>623.70000000000005</v>
      </c>
      <c r="K8" s="8">
        <v>1076.99</v>
      </c>
      <c r="L8" s="17">
        <v>0.12529999999999999</v>
      </c>
    </row>
    <row r="9" spans="1:12" x14ac:dyDescent="0.25">
      <c r="A9" s="6">
        <v>45261</v>
      </c>
      <c r="B9" s="7">
        <v>36.51</v>
      </c>
      <c r="C9" s="7">
        <v>162.61000000000001</v>
      </c>
      <c r="D9" s="7">
        <v>250.15</v>
      </c>
      <c r="E9" s="7">
        <v>575.15</v>
      </c>
      <c r="F9" s="8">
        <v>273.97000000000003</v>
      </c>
      <c r="G9" s="7">
        <v>2310.5</v>
      </c>
      <c r="H9" s="7">
        <v>172.7</v>
      </c>
      <c r="I9" s="8">
        <v>666</v>
      </c>
      <c r="J9" s="7">
        <v>632.5</v>
      </c>
      <c r="K9" s="8">
        <v>1095.28</v>
      </c>
      <c r="L9" s="17">
        <v>0.1242</v>
      </c>
    </row>
    <row r="10" spans="1:12" x14ac:dyDescent="0.25">
      <c r="A10" s="6">
        <v>45260</v>
      </c>
      <c r="B10" s="7">
        <v>36.29</v>
      </c>
      <c r="C10" s="7">
        <v>163.22999999999999</v>
      </c>
      <c r="D10" s="7">
        <v>254.45</v>
      </c>
      <c r="E10" s="7">
        <v>584.29999999999995</v>
      </c>
      <c r="F10" s="8">
        <v>277.5</v>
      </c>
      <c r="G10" s="7">
        <v>2434.5</v>
      </c>
      <c r="H10" s="7">
        <v>174.5</v>
      </c>
      <c r="I10" s="8">
        <v>676.5</v>
      </c>
      <c r="J10" s="7">
        <v>638.79999999999995</v>
      </c>
      <c r="K10" s="8">
        <v>1115.01</v>
      </c>
      <c r="L10" s="17">
        <v>0.115</v>
      </c>
    </row>
    <row r="11" spans="1:12" x14ac:dyDescent="0.25">
      <c r="A11" s="6">
        <v>45259</v>
      </c>
      <c r="B11" s="7">
        <v>36.72</v>
      </c>
      <c r="C11" s="7">
        <v>163.16999999999999</v>
      </c>
      <c r="D11" s="7">
        <v>256.5</v>
      </c>
      <c r="E11" s="7">
        <v>593.45000000000005</v>
      </c>
      <c r="F11" s="8">
        <v>276.8</v>
      </c>
      <c r="G11" s="7">
        <v>2458.5</v>
      </c>
      <c r="H11" s="7">
        <v>176.8</v>
      </c>
      <c r="I11" s="8">
        <v>695.4</v>
      </c>
      <c r="J11" s="7">
        <v>638.70000000000005</v>
      </c>
      <c r="K11" s="8">
        <v>1128.01</v>
      </c>
      <c r="L11" s="17">
        <v>0.1143</v>
      </c>
    </row>
    <row r="12" spans="1:12" x14ac:dyDescent="0.25">
      <c r="A12" s="6">
        <v>45258</v>
      </c>
      <c r="B12" s="7">
        <v>37.15</v>
      </c>
      <c r="C12" s="7">
        <v>164.21</v>
      </c>
      <c r="D12" s="7">
        <v>261.25</v>
      </c>
      <c r="E12" s="7">
        <v>589.9</v>
      </c>
      <c r="F12" s="8">
        <v>279.91000000000003</v>
      </c>
      <c r="G12" s="7">
        <v>2422</v>
      </c>
      <c r="H12" s="7">
        <v>180</v>
      </c>
      <c r="I12" s="8">
        <v>709.5</v>
      </c>
      <c r="J12" s="7">
        <v>641.20000000000005</v>
      </c>
      <c r="K12" s="8">
        <v>1128.6099999999999</v>
      </c>
      <c r="L12" s="17">
        <v>0.11600000000000001</v>
      </c>
    </row>
    <row r="13" spans="1:12" x14ac:dyDescent="0.25">
      <c r="A13" s="6">
        <v>45257</v>
      </c>
      <c r="B13" s="7">
        <v>37.82</v>
      </c>
      <c r="C13" s="7">
        <v>162.79</v>
      </c>
      <c r="D13" s="7">
        <v>260.2</v>
      </c>
      <c r="E13" s="7">
        <v>578</v>
      </c>
      <c r="F13" s="8">
        <v>282.33</v>
      </c>
      <c r="G13" s="7">
        <v>2400.5</v>
      </c>
      <c r="H13" s="7">
        <v>175.8</v>
      </c>
      <c r="I13" s="8">
        <v>703</v>
      </c>
      <c r="J13" s="7">
        <v>638.4</v>
      </c>
      <c r="K13" s="8">
        <v>1132.05</v>
      </c>
      <c r="L13" s="17">
        <v>0.11550000000000001</v>
      </c>
    </row>
    <row r="14" spans="1:12" x14ac:dyDescent="0.25">
      <c r="A14" s="6">
        <v>45254</v>
      </c>
      <c r="B14" s="7">
        <v>38.51</v>
      </c>
      <c r="C14" s="7">
        <v>164.71</v>
      </c>
      <c r="D14" s="7">
        <v>262.85000000000002</v>
      </c>
      <c r="E14" s="7">
        <v>578.85</v>
      </c>
      <c r="F14" s="8">
        <v>286.85000000000002</v>
      </c>
      <c r="G14" s="7">
        <v>2340</v>
      </c>
      <c r="H14" s="7">
        <v>180.8</v>
      </c>
      <c r="I14" s="8">
        <v>705.8</v>
      </c>
      <c r="J14" s="7">
        <v>648</v>
      </c>
      <c r="K14" s="8">
        <v>1143.1500000000001</v>
      </c>
      <c r="L14" s="17">
        <v>0.1154</v>
      </c>
    </row>
    <row r="15" spans="1:12" x14ac:dyDescent="0.25">
      <c r="A15" s="6">
        <v>45253</v>
      </c>
      <c r="B15" s="7">
        <v>38.67</v>
      </c>
      <c r="C15" s="7">
        <v>164.11</v>
      </c>
      <c r="D15" s="7">
        <v>266.25</v>
      </c>
      <c r="E15" s="7">
        <v>580.79999999999995</v>
      </c>
      <c r="F15" s="8">
        <v>286.19</v>
      </c>
      <c r="G15" s="7">
        <v>2321</v>
      </c>
      <c r="H15" s="7">
        <v>183.8</v>
      </c>
      <c r="I15" s="8">
        <v>702.9</v>
      </c>
      <c r="J15" s="7">
        <v>641.1</v>
      </c>
      <c r="K15" s="8">
        <v>1148.97</v>
      </c>
      <c r="L15" s="17">
        <v>0.11509999999999999</v>
      </c>
    </row>
    <row r="16" spans="1:12" x14ac:dyDescent="0.25">
      <c r="A16" s="6">
        <v>45252</v>
      </c>
      <c r="B16" s="7">
        <v>39.01</v>
      </c>
      <c r="C16" s="7">
        <v>165.37</v>
      </c>
      <c r="D16" s="7">
        <v>269.89999999999998</v>
      </c>
      <c r="E16" s="7">
        <v>581.75</v>
      </c>
      <c r="F16" s="8">
        <v>286.16000000000003</v>
      </c>
      <c r="G16" s="7">
        <v>2335.5</v>
      </c>
      <c r="H16" s="7">
        <v>189.1</v>
      </c>
      <c r="I16" s="8">
        <v>707.6</v>
      </c>
      <c r="J16" s="7">
        <v>640.79999999999995</v>
      </c>
      <c r="K16" s="8">
        <v>1151.94</v>
      </c>
      <c r="L16" s="17">
        <v>0.1164</v>
      </c>
    </row>
    <row r="17" spans="1:12" x14ac:dyDescent="0.25">
      <c r="A17" s="6">
        <v>45251</v>
      </c>
      <c r="B17" s="7">
        <v>39.11</v>
      </c>
      <c r="C17" s="7">
        <v>165.15</v>
      </c>
      <c r="D17" s="7">
        <v>272.85000000000002</v>
      </c>
      <c r="E17" s="7">
        <v>583.4</v>
      </c>
      <c r="F17" s="8">
        <v>282.79000000000002</v>
      </c>
      <c r="G17" s="7">
        <v>2335</v>
      </c>
      <c r="H17" s="7">
        <v>188.9</v>
      </c>
      <c r="I17" s="8">
        <v>708.4</v>
      </c>
      <c r="J17" s="7">
        <v>634.20000000000005</v>
      </c>
      <c r="K17" s="8">
        <v>1154.3900000000001</v>
      </c>
      <c r="L17" s="17">
        <v>0.1176</v>
      </c>
    </row>
    <row r="18" spans="1:12" x14ac:dyDescent="0.25">
      <c r="A18" s="6">
        <v>45250</v>
      </c>
      <c r="B18" s="7">
        <v>38.57</v>
      </c>
      <c r="C18" s="7">
        <v>165.51</v>
      </c>
      <c r="D18" s="7">
        <v>269.95</v>
      </c>
      <c r="E18" s="7">
        <v>581.5</v>
      </c>
      <c r="F18" s="8">
        <v>282.91000000000003</v>
      </c>
      <c r="G18" s="7">
        <v>2224</v>
      </c>
      <c r="H18" s="7">
        <v>188.4</v>
      </c>
      <c r="I18" s="8">
        <v>696.7</v>
      </c>
      <c r="J18" s="7">
        <v>615.4</v>
      </c>
      <c r="K18" s="8">
        <v>1142.51</v>
      </c>
      <c r="L18" s="17">
        <v>0.11899999999999999</v>
      </c>
    </row>
    <row r="19" spans="1:12" x14ac:dyDescent="0.25">
      <c r="A19" s="6">
        <v>45247</v>
      </c>
      <c r="B19" s="7">
        <v>38.54</v>
      </c>
      <c r="C19" s="7">
        <v>165.31</v>
      </c>
      <c r="D19" s="7">
        <v>269.05</v>
      </c>
      <c r="E19" s="7">
        <v>583.29999999999995</v>
      </c>
      <c r="F19" s="8">
        <v>281.60000000000002</v>
      </c>
      <c r="G19" s="7">
        <v>2166.5</v>
      </c>
      <c r="H19" s="7">
        <v>189.8</v>
      </c>
      <c r="I19" s="8">
        <v>707</v>
      </c>
      <c r="J19" s="7">
        <v>615.5</v>
      </c>
      <c r="K19" s="8">
        <v>1122.0999999999999</v>
      </c>
      <c r="L19" s="17">
        <v>0.11899999999999999</v>
      </c>
    </row>
    <row r="20" spans="1:12" x14ac:dyDescent="0.25">
      <c r="A20" s="6">
        <v>45246</v>
      </c>
      <c r="B20" s="7">
        <v>38.28</v>
      </c>
      <c r="C20" s="7">
        <v>165.48</v>
      </c>
      <c r="D20" s="7">
        <v>271.05</v>
      </c>
      <c r="E20" s="7">
        <v>572.75</v>
      </c>
      <c r="F20" s="8">
        <v>279.7</v>
      </c>
      <c r="G20" s="7">
        <v>2196</v>
      </c>
      <c r="H20" s="7">
        <v>189.2</v>
      </c>
      <c r="I20" s="8">
        <v>701.7</v>
      </c>
      <c r="J20" s="7">
        <v>602.1</v>
      </c>
      <c r="K20" s="8">
        <v>1129.22</v>
      </c>
      <c r="L20" s="17">
        <v>0.1205</v>
      </c>
    </row>
    <row r="21" spans="1:12" x14ac:dyDescent="0.25">
      <c r="A21" s="6">
        <v>45245</v>
      </c>
      <c r="B21" s="7">
        <v>38.68</v>
      </c>
      <c r="C21" s="7">
        <v>166.46</v>
      </c>
      <c r="D21" s="7">
        <v>277.05</v>
      </c>
      <c r="E21" s="7">
        <v>585</v>
      </c>
      <c r="F21" s="8">
        <v>282.89</v>
      </c>
      <c r="G21" s="7">
        <v>2199.5</v>
      </c>
      <c r="H21" s="7">
        <v>192.3</v>
      </c>
      <c r="I21" s="8">
        <v>709.6</v>
      </c>
      <c r="J21" s="7">
        <v>611.79999999999995</v>
      </c>
      <c r="K21" s="8">
        <v>1134.24</v>
      </c>
      <c r="L21" s="17">
        <v>0.1203</v>
      </c>
    </row>
    <row r="22" spans="1:12" x14ac:dyDescent="0.25">
      <c r="A22" s="6">
        <v>45244</v>
      </c>
      <c r="B22" s="7">
        <v>38.380000000000003</v>
      </c>
      <c r="C22" s="7">
        <v>165.86</v>
      </c>
      <c r="D22" s="7">
        <v>273</v>
      </c>
      <c r="E22" s="7">
        <v>591.29999999999995</v>
      </c>
      <c r="F22" s="8">
        <v>280.87</v>
      </c>
      <c r="G22" s="7">
        <v>2182</v>
      </c>
      <c r="H22" s="7">
        <v>186.9</v>
      </c>
      <c r="I22" s="8">
        <v>711.2</v>
      </c>
      <c r="J22" s="7">
        <v>610.70000000000005</v>
      </c>
      <c r="K22" s="8">
        <v>1116.97</v>
      </c>
      <c r="L22" s="17">
        <v>0.1212</v>
      </c>
    </row>
    <row r="23" spans="1:12" x14ac:dyDescent="0.25">
      <c r="A23" s="6">
        <v>45243</v>
      </c>
      <c r="B23" s="7">
        <v>38.799999999999997</v>
      </c>
      <c r="C23" s="7">
        <v>167.85</v>
      </c>
      <c r="D23" s="7">
        <v>278.64999999999998</v>
      </c>
      <c r="E23" s="7">
        <v>598.29999999999995</v>
      </c>
      <c r="F23" s="8">
        <v>283.97000000000003</v>
      </c>
      <c r="G23" s="7">
        <v>2243</v>
      </c>
      <c r="H23" s="7">
        <v>194.7</v>
      </c>
      <c r="I23" s="8">
        <v>718.1</v>
      </c>
      <c r="J23" s="7">
        <v>616.29999999999995</v>
      </c>
      <c r="K23" s="8">
        <v>1117.43</v>
      </c>
      <c r="L23" s="17">
        <v>0.1193</v>
      </c>
    </row>
    <row r="24" spans="1:12" x14ac:dyDescent="0.25">
      <c r="A24" s="6">
        <v>45240</v>
      </c>
      <c r="B24" s="7">
        <v>39.19</v>
      </c>
      <c r="C24" s="7">
        <v>168.25</v>
      </c>
      <c r="D24" s="7">
        <v>274.8</v>
      </c>
      <c r="E24" s="7">
        <v>598.29999999999995</v>
      </c>
      <c r="F24" s="8">
        <v>280.19</v>
      </c>
      <c r="G24" s="7">
        <v>2283</v>
      </c>
      <c r="H24" s="7">
        <v>195.7</v>
      </c>
      <c r="I24" s="8">
        <v>718.5</v>
      </c>
      <c r="J24" s="7">
        <v>620</v>
      </c>
      <c r="K24" s="8">
        <v>1107.44</v>
      </c>
      <c r="L24" s="17">
        <v>0.11990000000000001</v>
      </c>
    </row>
    <row r="25" spans="1:12" x14ac:dyDescent="0.25">
      <c r="A25" s="6">
        <v>45239</v>
      </c>
      <c r="B25" s="7">
        <v>39.39</v>
      </c>
      <c r="C25" s="7">
        <v>168.16</v>
      </c>
      <c r="D25" s="7">
        <v>276.45</v>
      </c>
      <c r="E25" s="7">
        <v>583.1</v>
      </c>
      <c r="F25" s="8">
        <v>276.64999999999998</v>
      </c>
      <c r="G25" s="7">
        <v>2121</v>
      </c>
      <c r="H25" s="7">
        <v>195.3</v>
      </c>
      <c r="I25" s="8">
        <v>729.1</v>
      </c>
      <c r="J25" s="7">
        <v>615.20000000000005</v>
      </c>
      <c r="K25" s="8">
        <v>1108.8699999999999</v>
      </c>
      <c r="L25" s="17">
        <v>0.1215</v>
      </c>
    </row>
    <row r="26" spans="1:12" x14ac:dyDescent="0.25">
      <c r="A26" s="6">
        <v>45238</v>
      </c>
      <c r="B26" s="7">
        <v>39.93</v>
      </c>
      <c r="C26" s="7">
        <v>168.49</v>
      </c>
      <c r="D26" s="7">
        <v>274.35000000000002</v>
      </c>
      <c r="E26" s="7">
        <v>581.65</v>
      </c>
      <c r="F26" s="8">
        <v>278.14999999999998</v>
      </c>
      <c r="G26" s="7">
        <v>2094.5</v>
      </c>
      <c r="H26" s="7">
        <v>194.2</v>
      </c>
      <c r="I26" s="8">
        <v>728.5</v>
      </c>
      <c r="J26" s="7">
        <v>614.5</v>
      </c>
      <c r="K26" s="8">
        <v>1113.03</v>
      </c>
      <c r="L26" s="17">
        <v>0.123</v>
      </c>
    </row>
    <row r="27" spans="1:12" x14ac:dyDescent="0.25">
      <c r="A27" s="6">
        <v>45237</v>
      </c>
      <c r="B27" s="7">
        <v>40.1</v>
      </c>
      <c r="C27" s="7">
        <v>168.53</v>
      </c>
      <c r="D27" s="7">
        <v>272.64999999999998</v>
      </c>
      <c r="E27" s="7">
        <v>583.95000000000005</v>
      </c>
      <c r="F27" s="8">
        <v>273.31</v>
      </c>
      <c r="G27" s="7">
        <v>2104</v>
      </c>
      <c r="H27" s="7">
        <v>194.8</v>
      </c>
      <c r="I27" s="8">
        <v>736</v>
      </c>
      <c r="J27" s="7">
        <v>611.20000000000005</v>
      </c>
      <c r="K27" s="8">
        <v>1107.2</v>
      </c>
      <c r="L27" s="17">
        <v>0.12509999999999999</v>
      </c>
    </row>
    <row r="28" spans="1:12" x14ac:dyDescent="0.25">
      <c r="A28" s="6">
        <v>45236</v>
      </c>
      <c r="B28" s="7">
        <v>39.64</v>
      </c>
      <c r="C28" s="7">
        <v>169.48</v>
      </c>
      <c r="D28" s="7">
        <v>271.8</v>
      </c>
      <c r="E28" s="7">
        <v>588.95000000000005</v>
      </c>
      <c r="F28" s="8">
        <v>273.42</v>
      </c>
      <c r="G28" s="7">
        <v>2096</v>
      </c>
      <c r="H28" s="7">
        <v>192.3</v>
      </c>
      <c r="I28" s="8">
        <v>727.9</v>
      </c>
      <c r="J28" s="7">
        <v>609.70000000000005</v>
      </c>
      <c r="K28" s="8">
        <v>1103.78</v>
      </c>
      <c r="L28" s="17">
        <v>0.12139999999999999</v>
      </c>
    </row>
    <row r="29" spans="1:12" x14ac:dyDescent="0.25">
      <c r="A29" s="6">
        <v>45233</v>
      </c>
      <c r="B29" s="7">
        <v>38.97</v>
      </c>
      <c r="C29" s="7">
        <v>169.19</v>
      </c>
      <c r="D29" s="7">
        <v>271.35000000000002</v>
      </c>
      <c r="E29" s="7">
        <v>581.5</v>
      </c>
      <c r="F29" s="8">
        <v>268.54000000000002</v>
      </c>
      <c r="G29" s="7">
        <v>2027</v>
      </c>
      <c r="H29" s="7">
        <v>191.4</v>
      </c>
      <c r="I29" s="8">
        <v>717.6</v>
      </c>
      <c r="J29" s="7">
        <v>601.70000000000005</v>
      </c>
      <c r="K29" s="8">
        <v>1093.74</v>
      </c>
      <c r="L29" s="17">
        <v>0.1249</v>
      </c>
    </row>
    <row r="30" spans="1:12" x14ac:dyDescent="0.25">
      <c r="A30" s="6">
        <v>45232</v>
      </c>
      <c r="B30" s="7">
        <v>39.25</v>
      </c>
      <c r="C30" s="7">
        <v>168.18</v>
      </c>
      <c r="D30" s="7">
        <v>270.14999999999998</v>
      </c>
      <c r="E30" s="7">
        <v>586.25</v>
      </c>
      <c r="F30" s="8">
        <v>269.06</v>
      </c>
      <c r="G30" s="7">
        <v>2042</v>
      </c>
      <c r="H30" s="7">
        <v>191.2</v>
      </c>
      <c r="I30" s="8">
        <v>719.3</v>
      </c>
      <c r="J30" s="7">
        <v>602.70000000000005</v>
      </c>
      <c r="K30" s="8">
        <v>1079.82</v>
      </c>
      <c r="L30" s="17">
        <v>0.1275</v>
      </c>
    </row>
    <row r="31" spans="1:12" x14ac:dyDescent="0.25">
      <c r="A31" s="6">
        <v>45231</v>
      </c>
      <c r="B31" s="7">
        <v>39.25</v>
      </c>
      <c r="C31" s="7">
        <v>170.08</v>
      </c>
      <c r="D31" s="7">
        <v>273.3</v>
      </c>
      <c r="E31" s="7">
        <v>579.5</v>
      </c>
      <c r="F31" s="8">
        <v>269.68</v>
      </c>
      <c r="G31" s="7">
        <v>2049</v>
      </c>
      <c r="H31" s="7">
        <v>191.1</v>
      </c>
      <c r="I31" s="8">
        <v>724.9</v>
      </c>
      <c r="J31" s="7">
        <v>606.29999999999995</v>
      </c>
      <c r="K31" s="8">
        <v>1088.42</v>
      </c>
      <c r="L31" s="17">
        <v>0.12909999999999999</v>
      </c>
    </row>
    <row r="32" spans="1:12" x14ac:dyDescent="0.25">
      <c r="A32" s="6">
        <v>45230</v>
      </c>
      <c r="B32" s="7">
        <v>39.35</v>
      </c>
      <c r="C32" s="7">
        <v>167.88</v>
      </c>
      <c r="D32" s="7">
        <v>271.75</v>
      </c>
      <c r="E32" s="7">
        <v>574.54999999999995</v>
      </c>
      <c r="F32" s="8">
        <v>268.35000000000002</v>
      </c>
      <c r="G32" s="7">
        <v>2026.5</v>
      </c>
      <c r="H32" s="7">
        <v>190.2</v>
      </c>
      <c r="I32" s="8">
        <v>707.5</v>
      </c>
      <c r="J32" s="7">
        <v>607.6</v>
      </c>
      <c r="K32" s="8">
        <v>1079.8800000000001</v>
      </c>
      <c r="L32" s="17">
        <v>0.1295</v>
      </c>
    </row>
    <row r="33" spans="1:12" x14ac:dyDescent="0.25">
      <c r="A33" s="6">
        <v>45229</v>
      </c>
      <c r="B33" s="7">
        <v>39.89</v>
      </c>
      <c r="C33" s="7">
        <v>167.16</v>
      </c>
      <c r="D33" s="7">
        <v>277.7</v>
      </c>
      <c r="E33" s="7">
        <v>587.20000000000005</v>
      </c>
      <c r="F33" s="8">
        <v>269.89</v>
      </c>
      <c r="G33" s="7">
        <v>2067</v>
      </c>
      <c r="H33" s="7">
        <v>193.4</v>
      </c>
      <c r="I33" s="8">
        <v>722</v>
      </c>
      <c r="J33" s="7">
        <v>621.20000000000005</v>
      </c>
      <c r="K33" s="8">
        <v>1094.3699999999999</v>
      </c>
      <c r="L33" s="17">
        <v>0.13289999999999999</v>
      </c>
    </row>
    <row r="34" spans="1:12" x14ac:dyDescent="0.25">
      <c r="A34" s="6">
        <v>45226</v>
      </c>
      <c r="B34" s="7">
        <v>40.26</v>
      </c>
      <c r="C34" s="7">
        <v>167.26</v>
      </c>
      <c r="D34" s="7">
        <v>282.14999999999998</v>
      </c>
      <c r="E34" s="7">
        <v>594.6</v>
      </c>
      <c r="F34" s="8">
        <v>269.7</v>
      </c>
      <c r="G34" s="7">
        <v>2061</v>
      </c>
      <c r="H34" s="7">
        <v>192.8</v>
      </c>
      <c r="I34" s="8">
        <v>730.9</v>
      </c>
      <c r="J34" s="7">
        <v>622.4</v>
      </c>
      <c r="K34" s="8">
        <v>1079.07</v>
      </c>
      <c r="L34" s="17">
        <v>0.13300000000000001</v>
      </c>
    </row>
    <row r="35" spans="1:12" x14ac:dyDescent="0.25">
      <c r="A35" s="6">
        <v>45225</v>
      </c>
      <c r="B35" s="7">
        <v>39.979999999999997</v>
      </c>
      <c r="C35" s="7">
        <v>168.45</v>
      </c>
      <c r="D35" s="7">
        <v>279.55</v>
      </c>
      <c r="E35" s="7">
        <v>583</v>
      </c>
      <c r="F35" s="8">
        <v>269.89999999999998</v>
      </c>
      <c r="G35" s="7">
        <v>2091</v>
      </c>
      <c r="H35" s="7">
        <v>195.9</v>
      </c>
      <c r="I35" s="8">
        <v>742.4</v>
      </c>
      <c r="J35" s="7">
        <v>613.6</v>
      </c>
      <c r="K35" s="8">
        <v>1084.78</v>
      </c>
      <c r="L35" s="17">
        <v>0.12429999999999999</v>
      </c>
    </row>
    <row r="36" spans="1:12" x14ac:dyDescent="0.25">
      <c r="A36" s="6">
        <v>45224</v>
      </c>
      <c r="B36" s="7">
        <v>40.869999999999997</v>
      </c>
      <c r="C36" s="7">
        <v>169.62</v>
      </c>
      <c r="D36" s="7">
        <v>283.85000000000002</v>
      </c>
      <c r="E36" s="7">
        <v>590.5</v>
      </c>
      <c r="F36" s="8">
        <v>273.73</v>
      </c>
      <c r="G36" s="7">
        <v>2050</v>
      </c>
      <c r="H36" s="7">
        <v>199.9</v>
      </c>
      <c r="I36" s="8">
        <v>751</v>
      </c>
      <c r="J36" s="7">
        <v>622.29999999999995</v>
      </c>
      <c r="K36" s="8">
        <v>1103.5999999999999</v>
      </c>
      <c r="L36" s="17">
        <v>0.1244</v>
      </c>
    </row>
    <row r="37" spans="1:12" x14ac:dyDescent="0.25">
      <c r="A37" s="6">
        <v>45223</v>
      </c>
      <c r="B37" s="7">
        <v>40.79</v>
      </c>
      <c r="C37" s="7">
        <v>170.19</v>
      </c>
      <c r="D37" s="7">
        <v>280.10000000000002</v>
      </c>
      <c r="E37" s="7">
        <v>586.20000000000005</v>
      </c>
      <c r="F37" s="8">
        <v>271.27</v>
      </c>
      <c r="G37" s="7">
        <v>2030.5</v>
      </c>
      <c r="H37" s="7">
        <v>202.2</v>
      </c>
      <c r="I37" s="8">
        <v>759.2</v>
      </c>
      <c r="J37" s="7">
        <v>625.5</v>
      </c>
      <c r="K37" s="8">
        <v>1102.3699999999999</v>
      </c>
      <c r="L37" s="17">
        <v>0.1242</v>
      </c>
    </row>
    <row r="38" spans="1:12" x14ac:dyDescent="0.25">
      <c r="A38" s="6">
        <v>45222</v>
      </c>
      <c r="B38" s="7">
        <v>40.94</v>
      </c>
      <c r="C38" s="7">
        <v>170.39</v>
      </c>
      <c r="D38" s="7">
        <v>275</v>
      </c>
      <c r="E38" s="7">
        <v>593.29999999999995</v>
      </c>
      <c r="F38" s="8">
        <v>270.10000000000002</v>
      </c>
      <c r="G38" s="7">
        <v>2013</v>
      </c>
      <c r="H38" s="7">
        <v>190.4</v>
      </c>
      <c r="I38" s="8">
        <v>763.8</v>
      </c>
      <c r="J38" s="7">
        <v>626.6</v>
      </c>
      <c r="K38" s="8">
        <v>1091.1600000000001</v>
      </c>
      <c r="L38" s="17">
        <v>0.1237</v>
      </c>
    </row>
    <row r="39" spans="1:12" x14ac:dyDescent="0.25">
      <c r="A39" s="6">
        <v>45219</v>
      </c>
      <c r="B39" s="7">
        <v>40.93</v>
      </c>
      <c r="C39" s="7">
        <v>171.39</v>
      </c>
      <c r="D39" s="7">
        <v>274.85000000000002</v>
      </c>
      <c r="E39" s="7">
        <v>602.9</v>
      </c>
      <c r="F39" s="8">
        <v>269.8</v>
      </c>
      <c r="G39" s="7">
        <v>2028</v>
      </c>
      <c r="H39" s="7">
        <v>191.3</v>
      </c>
      <c r="I39" s="8">
        <v>762.8</v>
      </c>
      <c r="J39" s="7">
        <v>630.4</v>
      </c>
      <c r="K39" s="8">
        <v>1081.29</v>
      </c>
      <c r="L39" s="17">
        <v>0.1221</v>
      </c>
    </row>
    <row r="40" spans="1:12" x14ac:dyDescent="0.25">
      <c r="A40" s="6">
        <v>45218</v>
      </c>
      <c r="B40" s="7">
        <v>40.880000000000003</v>
      </c>
      <c r="C40" s="7">
        <v>170.38</v>
      </c>
      <c r="D40" s="7">
        <v>273.39999999999998</v>
      </c>
      <c r="E40" s="7">
        <v>595.25</v>
      </c>
      <c r="F40" s="8">
        <v>268.64999999999998</v>
      </c>
      <c r="G40" s="7">
        <v>2039.5</v>
      </c>
      <c r="H40" s="7">
        <v>192.6</v>
      </c>
      <c r="I40" s="8">
        <v>765.9</v>
      </c>
      <c r="J40" s="7">
        <v>633.1</v>
      </c>
      <c r="K40" s="8">
        <v>1056.54</v>
      </c>
      <c r="L40" s="17">
        <v>0.1222</v>
      </c>
    </row>
    <row r="41" spans="1:12" x14ac:dyDescent="0.25">
      <c r="A41" s="6">
        <v>45217</v>
      </c>
      <c r="B41" s="7">
        <v>40.83</v>
      </c>
      <c r="C41" s="7">
        <v>170.18</v>
      </c>
      <c r="D41" s="7">
        <v>275</v>
      </c>
      <c r="E41" s="7">
        <v>586.79999999999995</v>
      </c>
      <c r="F41" s="8">
        <v>267.89999999999998</v>
      </c>
      <c r="G41" s="7">
        <v>2038.5</v>
      </c>
      <c r="H41" s="7">
        <v>193.9</v>
      </c>
      <c r="I41" s="8">
        <v>772</v>
      </c>
      <c r="J41" s="7">
        <v>632.29999999999995</v>
      </c>
      <c r="K41" s="8">
        <v>1051.17</v>
      </c>
      <c r="L41" s="17">
        <v>0.1215</v>
      </c>
    </row>
    <row r="42" spans="1:12" x14ac:dyDescent="0.25">
      <c r="A42" s="6">
        <v>45216</v>
      </c>
      <c r="B42" s="7">
        <v>41.13</v>
      </c>
      <c r="C42" s="7">
        <v>171.97</v>
      </c>
      <c r="D42" s="7">
        <v>275.89999999999998</v>
      </c>
      <c r="E42" s="7">
        <v>573.04999999999995</v>
      </c>
      <c r="F42" s="8">
        <v>270</v>
      </c>
      <c r="G42" s="7">
        <v>2040</v>
      </c>
      <c r="H42" s="7">
        <v>194.1</v>
      </c>
      <c r="I42" s="8">
        <v>767.2</v>
      </c>
      <c r="J42" s="7">
        <v>628.5</v>
      </c>
      <c r="K42" s="8">
        <v>1046.79</v>
      </c>
      <c r="L42" s="17">
        <v>0.1216</v>
      </c>
    </row>
    <row r="43" spans="1:12" x14ac:dyDescent="0.25">
      <c r="A43" s="6">
        <v>45215</v>
      </c>
      <c r="B43" s="7">
        <v>41.34</v>
      </c>
      <c r="C43" s="7">
        <v>172.55</v>
      </c>
      <c r="D43" s="7">
        <v>275.60000000000002</v>
      </c>
      <c r="E43" s="7">
        <v>568.65</v>
      </c>
      <c r="F43" s="8">
        <v>268.14999999999998</v>
      </c>
      <c r="G43" s="7">
        <v>2047</v>
      </c>
      <c r="H43" s="7">
        <v>194.6</v>
      </c>
      <c r="I43" s="8">
        <v>759.5</v>
      </c>
      <c r="J43" s="7">
        <v>628.9</v>
      </c>
      <c r="K43" s="8">
        <v>1047</v>
      </c>
      <c r="L43" s="17">
        <v>0.1232</v>
      </c>
    </row>
    <row r="44" spans="1:12" x14ac:dyDescent="0.25">
      <c r="A44" s="6">
        <v>45212</v>
      </c>
      <c r="B44" s="7">
        <v>40.450000000000003</v>
      </c>
      <c r="C44" s="7">
        <v>170.2</v>
      </c>
      <c r="D44" s="7">
        <v>271.05</v>
      </c>
      <c r="E44" s="7">
        <v>561.85</v>
      </c>
      <c r="F44" s="8">
        <v>263.51</v>
      </c>
      <c r="G44" s="7">
        <v>2017.5</v>
      </c>
      <c r="H44" s="7">
        <v>190.9</v>
      </c>
      <c r="I44" s="8">
        <v>741.6</v>
      </c>
      <c r="J44" s="7">
        <v>628.29999999999995</v>
      </c>
      <c r="K44" s="8">
        <v>1034.1099999999999</v>
      </c>
      <c r="L44" s="17">
        <v>0.12509999999999999</v>
      </c>
    </row>
    <row r="45" spans="1:12" x14ac:dyDescent="0.25">
      <c r="A45" s="6">
        <v>45211</v>
      </c>
      <c r="B45" s="7">
        <v>40.4</v>
      </c>
      <c r="C45" s="7">
        <v>169.5</v>
      </c>
      <c r="D45" s="7">
        <v>271.2</v>
      </c>
      <c r="E45" s="7">
        <v>546.04999999999995</v>
      </c>
      <c r="F45" s="8">
        <v>264.5</v>
      </c>
      <c r="G45" s="7">
        <v>2015</v>
      </c>
      <c r="H45" s="7">
        <v>191.7</v>
      </c>
      <c r="I45" s="8">
        <v>746</v>
      </c>
      <c r="J45" s="7">
        <v>617.6</v>
      </c>
      <c r="K45" s="8">
        <v>1026.42</v>
      </c>
      <c r="L45" s="17">
        <v>0.12570000000000001</v>
      </c>
    </row>
    <row r="46" spans="1:12" x14ac:dyDescent="0.25">
      <c r="A46" s="6">
        <v>45210</v>
      </c>
      <c r="B46" s="7">
        <v>40.36</v>
      </c>
      <c r="C46" s="7">
        <v>167.89</v>
      </c>
      <c r="D46" s="7">
        <v>270.45</v>
      </c>
      <c r="E46" s="7">
        <v>540.35</v>
      </c>
      <c r="F46" s="8">
        <v>260.20999999999998</v>
      </c>
      <c r="G46" s="7">
        <v>2018</v>
      </c>
      <c r="H46" s="7">
        <v>188.8</v>
      </c>
      <c r="I46" s="8">
        <v>745.6</v>
      </c>
      <c r="J46" s="7">
        <v>618.79999999999995</v>
      </c>
      <c r="K46" s="8">
        <v>1005.24</v>
      </c>
      <c r="L46" s="17">
        <v>0.12590000000000001</v>
      </c>
    </row>
    <row r="47" spans="1:12" x14ac:dyDescent="0.25">
      <c r="A47" s="6">
        <v>45209</v>
      </c>
      <c r="B47" s="7">
        <v>40.74</v>
      </c>
      <c r="C47" s="7">
        <v>168.03</v>
      </c>
      <c r="D47" s="7">
        <v>272.64999999999998</v>
      </c>
      <c r="E47" s="7">
        <v>549</v>
      </c>
      <c r="F47" s="8">
        <v>263</v>
      </c>
      <c r="G47" s="7">
        <v>2045.5</v>
      </c>
      <c r="H47" s="7">
        <v>191.7</v>
      </c>
      <c r="I47" s="8">
        <v>758.8</v>
      </c>
      <c r="J47" s="7">
        <v>649.5</v>
      </c>
      <c r="K47" s="8">
        <v>996.56</v>
      </c>
      <c r="L47" s="17">
        <v>0.12620000000000001</v>
      </c>
    </row>
    <row r="48" spans="1:12" x14ac:dyDescent="0.25">
      <c r="A48" s="6">
        <v>45208</v>
      </c>
      <c r="B48" s="7">
        <v>40.56</v>
      </c>
      <c r="C48" s="7">
        <v>167.06</v>
      </c>
      <c r="D48" s="7">
        <v>270.89999999999998</v>
      </c>
      <c r="E48" s="7">
        <v>552.5</v>
      </c>
      <c r="F48" s="8">
        <v>265.25</v>
      </c>
      <c r="G48" s="7">
        <v>2045.5</v>
      </c>
      <c r="H48" s="7">
        <v>189.1</v>
      </c>
      <c r="I48" s="8">
        <v>727</v>
      </c>
      <c r="J48" s="7">
        <v>643.70000000000005</v>
      </c>
      <c r="K48" s="8">
        <v>1006.92</v>
      </c>
      <c r="L48" s="17">
        <v>0.12709999999999999</v>
      </c>
    </row>
    <row r="49" spans="1:12" x14ac:dyDescent="0.25">
      <c r="A49" s="6">
        <v>45205</v>
      </c>
      <c r="B49" s="7">
        <v>40.630000000000003</v>
      </c>
      <c r="C49" s="7">
        <v>166.59</v>
      </c>
      <c r="D49" s="7">
        <v>270.25</v>
      </c>
      <c r="E49" s="7">
        <v>534.20000000000005</v>
      </c>
      <c r="F49" s="8">
        <v>262.93</v>
      </c>
      <c r="G49" s="7">
        <v>2000</v>
      </c>
      <c r="H49" s="7">
        <v>187.3</v>
      </c>
      <c r="I49" s="8">
        <v>728.4</v>
      </c>
      <c r="J49" s="7">
        <v>638</v>
      </c>
      <c r="K49" s="8">
        <v>987.14</v>
      </c>
      <c r="L49" s="17">
        <v>0.1268</v>
      </c>
    </row>
    <row r="50" spans="1:12" x14ac:dyDescent="0.25">
      <c r="A50" s="6">
        <v>45204</v>
      </c>
      <c r="B50" s="7">
        <v>40.450000000000003</v>
      </c>
      <c r="C50" s="7">
        <v>166.06</v>
      </c>
      <c r="D50" s="7">
        <v>271</v>
      </c>
      <c r="E50" s="7">
        <v>534.70000000000005</v>
      </c>
      <c r="F50" s="8">
        <v>259.38</v>
      </c>
      <c r="G50" s="7">
        <v>1963.5</v>
      </c>
      <c r="H50" s="7">
        <v>187.1</v>
      </c>
      <c r="I50" s="8">
        <v>710.2</v>
      </c>
      <c r="J50" s="7">
        <v>633.79999999999995</v>
      </c>
      <c r="K50" s="8">
        <v>982.6</v>
      </c>
      <c r="L50" s="17">
        <v>0.12659999999999999</v>
      </c>
    </row>
    <row r="51" spans="1:12" x14ac:dyDescent="0.25">
      <c r="A51" s="6">
        <v>45203</v>
      </c>
      <c r="B51" s="7">
        <v>40.75</v>
      </c>
      <c r="C51" s="7">
        <v>165.4</v>
      </c>
      <c r="D51" s="7">
        <v>271.85000000000002</v>
      </c>
      <c r="E51" s="7">
        <v>533.95000000000005</v>
      </c>
      <c r="F51" s="8">
        <v>259.52999999999997</v>
      </c>
      <c r="G51" s="7">
        <v>1963</v>
      </c>
      <c r="H51" s="7">
        <v>185.1</v>
      </c>
      <c r="I51" s="8">
        <v>723.6</v>
      </c>
      <c r="J51" s="7">
        <v>634.20000000000005</v>
      </c>
      <c r="K51" s="8">
        <v>991.35</v>
      </c>
      <c r="L51" s="17">
        <v>0.1265</v>
      </c>
    </row>
    <row r="52" spans="1:12" x14ac:dyDescent="0.25">
      <c r="A52" s="6">
        <v>45202</v>
      </c>
      <c r="B52" s="7">
        <v>40.98</v>
      </c>
      <c r="C52" s="7">
        <v>166.75</v>
      </c>
      <c r="D52" s="7">
        <v>271.39999999999998</v>
      </c>
      <c r="E52" s="7">
        <v>538.9</v>
      </c>
      <c r="F52" s="8">
        <v>259.64999999999998</v>
      </c>
      <c r="G52" s="7">
        <v>1954.5</v>
      </c>
      <c r="H52" s="7">
        <v>185</v>
      </c>
      <c r="I52" s="8">
        <v>738.1</v>
      </c>
      <c r="J52" s="7">
        <v>639.1</v>
      </c>
      <c r="K52" s="8">
        <v>993.74</v>
      </c>
      <c r="L52" s="17">
        <v>0.12559999999999999</v>
      </c>
    </row>
    <row r="53" spans="1:12" x14ac:dyDescent="0.25">
      <c r="A53" s="6">
        <v>45201</v>
      </c>
      <c r="B53" s="7">
        <v>40.81</v>
      </c>
      <c r="C53" s="7">
        <v>166.08</v>
      </c>
      <c r="D53" s="7">
        <v>272.10000000000002</v>
      </c>
      <c r="E53" s="7">
        <v>535.54999999999995</v>
      </c>
      <c r="F53" s="8">
        <v>258.98</v>
      </c>
      <c r="G53" s="7">
        <v>1959.5</v>
      </c>
      <c r="H53" s="7">
        <v>186.2</v>
      </c>
      <c r="I53" s="8">
        <v>736.5</v>
      </c>
      <c r="J53" s="7">
        <v>639.29999999999995</v>
      </c>
      <c r="K53" s="8">
        <v>992.18</v>
      </c>
      <c r="L53" s="17">
        <v>0.126</v>
      </c>
    </row>
    <row r="54" spans="1:12" x14ac:dyDescent="0.25">
      <c r="A54" s="6">
        <v>45198</v>
      </c>
      <c r="B54" s="7">
        <v>41.5</v>
      </c>
      <c r="C54" s="7">
        <v>167.09</v>
      </c>
      <c r="D54" s="7">
        <v>275.05</v>
      </c>
      <c r="E54" s="7">
        <v>537</v>
      </c>
      <c r="F54" s="8">
        <v>260.72000000000003</v>
      </c>
      <c r="G54" s="7">
        <v>1966</v>
      </c>
      <c r="H54" s="7">
        <v>186.2</v>
      </c>
      <c r="I54" s="8">
        <v>742.4</v>
      </c>
      <c r="J54" s="7">
        <v>625.4</v>
      </c>
      <c r="K54" s="8">
        <v>1007.58</v>
      </c>
      <c r="L54" s="17">
        <v>0.12570000000000001</v>
      </c>
    </row>
    <row r="55" spans="1:12" x14ac:dyDescent="0.25">
      <c r="A55" s="6">
        <v>45197</v>
      </c>
      <c r="B55" s="7">
        <v>41.43</v>
      </c>
      <c r="C55" s="7">
        <v>169.58</v>
      </c>
      <c r="D55" s="7">
        <v>276.89999999999998</v>
      </c>
      <c r="E55" s="7">
        <v>535.70000000000005</v>
      </c>
      <c r="F55" s="8">
        <v>257.67</v>
      </c>
      <c r="G55" s="7">
        <v>1954.5</v>
      </c>
      <c r="H55" s="7">
        <v>187.4</v>
      </c>
      <c r="I55" s="8">
        <v>754.5</v>
      </c>
      <c r="J55" s="7">
        <v>619.4</v>
      </c>
      <c r="K55" s="8">
        <v>1011.04</v>
      </c>
      <c r="L55" s="17">
        <v>0.12540000000000001</v>
      </c>
    </row>
    <row r="56" spans="1:12" x14ac:dyDescent="0.25">
      <c r="A56" s="6">
        <v>45196</v>
      </c>
      <c r="B56" s="7">
        <v>41.72</v>
      </c>
      <c r="C56" s="7">
        <v>165.53</v>
      </c>
      <c r="D56" s="7">
        <v>276.95</v>
      </c>
      <c r="E56" s="7">
        <v>529.95000000000005</v>
      </c>
      <c r="F56" s="8">
        <v>256.10000000000002</v>
      </c>
      <c r="G56" s="7">
        <v>1944.5</v>
      </c>
      <c r="H56" s="7">
        <v>186.4</v>
      </c>
      <c r="I56" s="8">
        <v>755.8</v>
      </c>
      <c r="J56" s="7">
        <v>615.29999999999995</v>
      </c>
      <c r="K56" s="8">
        <v>999.22</v>
      </c>
      <c r="L56" s="17">
        <v>0.1242</v>
      </c>
    </row>
    <row r="57" spans="1:12" x14ac:dyDescent="0.25">
      <c r="A57" s="6">
        <v>45195</v>
      </c>
      <c r="B57" s="7">
        <v>40.29</v>
      </c>
      <c r="C57" s="7">
        <v>165.36</v>
      </c>
      <c r="D57" s="7">
        <v>273.3</v>
      </c>
      <c r="E57" s="7">
        <v>517.85</v>
      </c>
      <c r="F57" s="8">
        <v>255.87</v>
      </c>
      <c r="G57" s="7">
        <v>1924</v>
      </c>
      <c r="H57" s="7">
        <v>185.2</v>
      </c>
      <c r="I57" s="8">
        <v>750.6</v>
      </c>
      <c r="J57" s="7">
        <v>603.4</v>
      </c>
      <c r="K57" s="8">
        <v>998.49</v>
      </c>
      <c r="L57" s="17">
        <v>0.1242</v>
      </c>
    </row>
    <row r="58" spans="1:12" x14ac:dyDescent="0.25">
      <c r="A58" s="6">
        <v>45194</v>
      </c>
      <c r="B58" s="7">
        <v>40.21</v>
      </c>
      <c r="C58" s="7">
        <v>165.87</v>
      </c>
      <c r="D58" s="7">
        <v>270.05</v>
      </c>
      <c r="E58" s="7">
        <v>520.65</v>
      </c>
      <c r="F58" s="8">
        <v>252.65</v>
      </c>
      <c r="G58" s="7">
        <v>1917.5</v>
      </c>
      <c r="H58" s="7">
        <v>189.9</v>
      </c>
      <c r="I58" s="8">
        <v>751.2</v>
      </c>
      <c r="J58" s="7">
        <v>604.6</v>
      </c>
      <c r="K58" s="8">
        <v>997.09</v>
      </c>
      <c r="L58" s="17">
        <v>0.12239999999999999</v>
      </c>
    </row>
    <row r="59" spans="1:12" x14ac:dyDescent="0.25">
      <c r="A59" s="6">
        <v>45191</v>
      </c>
      <c r="B59" s="7">
        <v>41</v>
      </c>
      <c r="C59" s="7">
        <v>166.7</v>
      </c>
      <c r="D59" s="7">
        <v>270.14999999999998</v>
      </c>
      <c r="E59" s="7">
        <v>513.9</v>
      </c>
      <c r="F59" s="8">
        <v>251.99</v>
      </c>
      <c r="G59" s="7">
        <v>1917.5</v>
      </c>
      <c r="H59" s="7">
        <v>190.3</v>
      </c>
      <c r="I59" s="8">
        <v>763.4</v>
      </c>
      <c r="J59" s="7">
        <v>610.79999999999995</v>
      </c>
      <c r="K59" s="8">
        <v>999.99</v>
      </c>
      <c r="L59" s="17">
        <v>0.1229</v>
      </c>
    </row>
    <row r="60" spans="1:12" x14ac:dyDescent="0.25">
      <c r="A60" s="6">
        <v>45190</v>
      </c>
      <c r="B60" s="7">
        <v>40.229999999999997</v>
      </c>
      <c r="C60" s="7">
        <v>165.85</v>
      </c>
      <c r="D60" s="7">
        <v>269.5</v>
      </c>
      <c r="E60" s="7">
        <v>508</v>
      </c>
      <c r="F60" s="8">
        <v>250.16</v>
      </c>
      <c r="G60" s="7">
        <v>1883</v>
      </c>
      <c r="H60" s="7">
        <v>186.9</v>
      </c>
      <c r="I60" s="8">
        <v>737.3</v>
      </c>
      <c r="J60" s="7">
        <v>597.6</v>
      </c>
      <c r="K60" s="8">
        <v>988.12</v>
      </c>
      <c r="L60" s="17">
        <v>0.12189999999999999</v>
      </c>
    </row>
    <row r="61" spans="1:12" x14ac:dyDescent="0.25">
      <c r="A61" s="6">
        <v>45189</v>
      </c>
      <c r="B61" s="7">
        <v>40.14</v>
      </c>
      <c r="C61" s="7">
        <v>169.11</v>
      </c>
      <c r="D61" s="7">
        <v>269.95</v>
      </c>
      <c r="E61" s="7">
        <v>529.35</v>
      </c>
      <c r="F61" s="8">
        <v>253.77</v>
      </c>
      <c r="G61" s="7">
        <v>1902.5</v>
      </c>
      <c r="H61" s="7">
        <v>189.9</v>
      </c>
      <c r="I61" s="8">
        <v>754.4</v>
      </c>
      <c r="J61" s="7">
        <v>611.79999999999995</v>
      </c>
      <c r="K61" s="8">
        <v>1002.54</v>
      </c>
      <c r="L61" s="17">
        <v>0.12089999999999999</v>
      </c>
    </row>
    <row r="62" spans="1:12" x14ac:dyDescent="0.25">
      <c r="A62" s="6">
        <v>45188</v>
      </c>
      <c r="B62" s="7">
        <v>40.25</v>
      </c>
      <c r="C62" s="7">
        <v>168.93</v>
      </c>
      <c r="D62" s="7">
        <v>270.95</v>
      </c>
      <c r="E62" s="7">
        <v>544</v>
      </c>
      <c r="F62" s="8">
        <v>252.72</v>
      </c>
      <c r="G62" s="7">
        <v>1926</v>
      </c>
      <c r="H62" s="7">
        <v>190.4</v>
      </c>
      <c r="I62" s="8">
        <v>743</v>
      </c>
      <c r="J62" s="7">
        <v>610.1</v>
      </c>
      <c r="K62" s="8">
        <v>1003.35</v>
      </c>
      <c r="L62" s="17">
        <v>0.1211</v>
      </c>
    </row>
    <row r="63" spans="1:12" x14ac:dyDescent="0.25">
      <c r="A63" s="6">
        <v>45187</v>
      </c>
      <c r="B63" s="7">
        <v>41.52</v>
      </c>
      <c r="C63" s="7">
        <v>172.8</v>
      </c>
      <c r="D63" s="7">
        <v>274.95</v>
      </c>
      <c r="E63" s="7">
        <v>557.1</v>
      </c>
      <c r="F63" s="8">
        <v>259.07</v>
      </c>
      <c r="G63" s="7">
        <v>1924.5</v>
      </c>
      <c r="H63" s="7">
        <v>193.9</v>
      </c>
      <c r="I63" s="8">
        <v>770</v>
      </c>
      <c r="J63" s="7">
        <v>626.20000000000005</v>
      </c>
      <c r="K63" s="8">
        <v>1024.52</v>
      </c>
      <c r="L63" s="17">
        <v>0.12130000000000001</v>
      </c>
    </row>
    <row r="64" spans="1:12" x14ac:dyDescent="0.25">
      <c r="A64" s="6">
        <v>45184</v>
      </c>
      <c r="B64" s="7">
        <v>41.63</v>
      </c>
      <c r="C64" s="7">
        <v>173.79</v>
      </c>
      <c r="D64" s="7">
        <v>278.45</v>
      </c>
      <c r="E64" s="7">
        <v>562.79999999999995</v>
      </c>
      <c r="F64" s="8">
        <v>260.83</v>
      </c>
      <c r="G64" s="7">
        <v>1954</v>
      </c>
      <c r="H64" s="7">
        <v>198.4</v>
      </c>
      <c r="I64" s="8">
        <v>782.7</v>
      </c>
      <c r="J64" s="7">
        <v>614.79999999999995</v>
      </c>
      <c r="K64" s="8">
        <v>1029.1500000000001</v>
      </c>
      <c r="L64" s="17">
        <v>0.12180000000000001</v>
      </c>
    </row>
    <row r="65" spans="1:12" x14ac:dyDescent="0.25">
      <c r="A65" s="6">
        <v>45183</v>
      </c>
      <c r="B65" s="7">
        <v>41.3</v>
      </c>
      <c r="C65" s="7">
        <v>173.52</v>
      </c>
      <c r="D65" s="7">
        <v>277.2</v>
      </c>
      <c r="E65" s="7">
        <v>556.29999999999995</v>
      </c>
      <c r="F65" s="8">
        <v>260</v>
      </c>
      <c r="G65" s="7">
        <v>1909</v>
      </c>
      <c r="H65" s="7">
        <v>198.1</v>
      </c>
      <c r="I65" s="8">
        <v>777.3</v>
      </c>
      <c r="J65" s="7">
        <v>602.5</v>
      </c>
      <c r="K65" s="8">
        <v>1018.31</v>
      </c>
      <c r="L65" s="17">
        <v>0.11990000000000001</v>
      </c>
    </row>
    <row r="66" spans="1:12" x14ac:dyDescent="0.25">
      <c r="A66" s="6">
        <v>45182</v>
      </c>
      <c r="B66" s="7">
        <v>41.87</v>
      </c>
      <c r="C66" s="7">
        <v>174.94</v>
      </c>
      <c r="D66" s="7">
        <v>277.55</v>
      </c>
      <c r="E66" s="7">
        <v>555.15</v>
      </c>
      <c r="F66" s="8">
        <v>258.18</v>
      </c>
      <c r="G66" s="7">
        <v>1977.5</v>
      </c>
      <c r="H66" s="7">
        <v>198.5</v>
      </c>
      <c r="I66" s="8">
        <v>781.8</v>
      </c>
      <c r="J66" s="7">
        <v>604.70000000000005</v>
      </c>
      <c r="K66" s="8">
        <v>1030.6500000000001</v>
      </c>
      <c r="L66" s="17">
        <v>0.1186</v>
      </c>
    </row>
    <row r="67" spans="1:12" x14ac:dyDescent="0.25">
      <c r="A67" s="6">
        <v>45181</v>
      </c>
      <c r="B67" s="7">
        <v>42.53</v>
      </c>
      <c r="C67" s="7">
        <v>177.62</v>
      </c>
      <c r="D67" s="7">
        <v>281.55</v>
      </c>
      <c r="E67" s="7">
        <v>562</v>
      </c>
      <c r="F67" s="8">
        <v>262.39999999999998</v>
      </c>
      <c r="G67" s="7">
        <v>1950</v>
      </c>
      <c r="H67" s="7">
        <v>203.9</v>
      </c>
      <c r="I67" s="8">
        <v>795.2</v>
      </c>
      <c r="J67" s="7">
        <v>606.6</v>
      </c>
      <c r="K67" s="8">
        <v>1049.6500000000001</v>
      </c>
      <c r="L67" s="17">
        <v>0.11799999999999999</v>
      </c>
    </row>
    <row r="68" spans="1:12" x14ac:dyDescent="0.25">
      <c r="A68" s="6">
        <v>45180</v>
      </c>
      <c r="B68" s="7">
        <v>41.73</v>
      </c>
      <c r="C68" s="7">
        <v>174.64</v>
      </c>
      <c r="D68" s="7">
        <v>279</v>
      </c>
      <c r="E68" s="7">
        <v>549.1</v>
      </c>
      <c r="F68" s="8">
        <v>256.25</v>
      </c>
      <c r="G68" s="7">
        <v>1940</v>
      </c>
      <c r="H68" s="7">
        <v>195.4</v>
      </c>
      <c r="I68" s="8">
        <v>771.9</v>
      </c>
      <c r="J68" s="7">
        <v>588.4</v>
      </c>
      <c r="K68" s="8">
        <v>1033.5</v>
      </c>
      <c r="L68" s="17">
        <v>0.1206</v>
      </c>
    </row>
    <row r="69" spans="1:12" x14ac:dyDescent="0.25">
      <c r="A69" s="6">
        <v>45177</v>
      </c>
      <c r="B69" s="7">
        <v>42.4</v>
      </c>
      <c r="C69" s="7">
        <v>175.95</v>
      </c>
      <c r="D69" s="7">
        <v>280.60000000000002</v>
      </c>
      <c r="E69" s="7">
        <v>557.95000000000005</v>
      </c>
      <c r="F69" s="8">
        <v>255.68</v>
      </c>
      <c r="G69" s="7">
        <v>1933</v>
      </c>
      <c r="H69" s="7">
        <v>191.7</v>
      </c>
      <c r="I69" s="8">
        <v>796</v>
      </c>
      <c r="J69" s="7">
        <v>595.5</v>
      </c>
      <c r="K69" s="8">
        <v>1012.4</v>
      </c>
      <c r="L69" s="17">
        <v>0.12089999999999999</v>
      </c>
    </row>
    <row r="70" spans="1:12" x14ac:dyDescent="0.25">
      <c r="A70" s="6">
        <v>45176</v>
      </c>
      <c r="B70" s="7">
        <v>42.54</v>
      </c>
      <c r="C70" s="7">
        <v>177.64</v>
      </c>
      <c r="D70" s="7">
        <v>283.39999999999998</v>
      </c>
      <c r="E70" s="7">
        <v>564.6</v>
      </c>
      <c r="F70" s="8">
        <v>258.79000000000002</v>
      </c>
      <c r="G70" s="7">
        <v>1954</v>
      </c>
      <c r="H70" s="7">
        <v>195.5</v>
      </c>
      <c r="I70" s="8">
        <v>803.1</v>
      </c>
      <c r="J70" s="7">
        <v>603.70000000000005</v>
      </c>
      <c r="K70" s="8">
        <v>1014.05</v>
      </c>
      <c r="L70" s="17">
        <v>0.1192</v>
      </c>
    </row>
    <row r="71" spans="1:12" x14ac:dyDescent="0.25">
      <c r="A71" s="6">
        <v>45175</v>
      </c>
      <c r="B71" s="7">
        <v>43.75</v>
      </c>
      <c r="C71" s="7">
        <v>180.96</v>
      </c>
      <c r="D71" s="7">
        <v>287.10000000000002</v>
      </c>
      <c r="E71" s="7">
        <v>578.79999999999995</v>
      </c>
      <c r="F71" s="8">
        <v>263.5</v>
      </c>
      <c r="G71" s="7">
        <v>2047.5</v>
      </c>
      <c r="H71" s="7">
        <v>200.3</v>
      </c>
      <c r="I71" s="8">
        <v>825.6</v>
      </c>
      <c r="J71" s="7">
        <v>608.79999999999995</v>
      </c>
      <c r="K71" s="8">
        <v>1038.58</v>
      </c>
      <c r="L71" s="17">
        <v>0.1158</v>
      </c>
    </row>
    <row r="72" spans="1:12" x14ac:dyDescent="0.25">
      <c r="A72" s="6">
        <v>45174</v>
      </c>
      <c r="B72" s="7">
        <v>44.04</v>
      </c>
      <c r="C72" s="7">
        <v>182.48</v>
      </c>
      <c r="D72" s="7">
        <v>287.60000000000002</v>
      </c>
      <c r="E72" s="7">
        <v>574.4</v>
      </c>
      <c r="F72" s="8">
        <v>264.75</v>
      </c>
      <c r="G72" s="7">
        <v>2033.5</v>
      </c>
      <c r="H72" s="7">
        <v>203.2</v>
      </c>
      <c r="I72" s="8">
        <v>836</v>
      </c>
      <c r="J72" s="7">
        <v>607.20000000000005</v>
      </c>
      <c r="K72" s="8">
        <v>1050.99</v>
      </c>
      <c r="L72" s="17">
        <v>0.1106</v>
      </c>
    </row>
    <row r="73" spans="1:12" x14ac:dyDescent="0.25">
      <c r="A73" s="6">
        <v>45173</v>
      </c>
      <c r="B73" s="7">
        <v>44.14</v>
      </c>
      <c r="C73" s="7">
        <v>181.11</v>
      </c>
      <c r="D73" s="7">
        <v>287.7</v>
      </c>
      <c r="E73" s="7">
        <v>567.25</v>
      </c>
      <c r="F73" s="8">
        <v>267.39</v>
      </c>
      <c r="G73" s="7">
        <v>1957.5</v>
      </c>
      <c r="H73" s="7">
        <v>201.5</v>
      </c>
      <c r="I73" s="8">
        <v>840.7</v>
      </c>
      <c r="J73" s="7">
        <v>602.5</v>
      </c>
      <c r="K73" s="8">
        <v>1063.4100000000001</v>
      </c>
      <c r="L73" s="17">
        <v>0.10730000000000001</v>
      </c>
    </row>
    <row r="74" spans="1:12" x14ac:dyDescent="0.25">
      <c r="A74" s="6">
        <v>45170</v>
      </c>
      <c r="B74" s="7">
        <v>44.01</v>
      </c>
      <c r="C74" s="7">
        <v>178.22</v>
      </c>
      <c r="D74" s="7">
        <v>283.7</v>
      </c>
      <c r="E74" s="7">
        <v>559.15</v>
      </c>
      <c r="F74" s="8">
        <v>265</v>
      </c>
      <c r="G74" s="7">
        <v>1926.5</v>
      </c>
      <c r="H74" s="7">
        <v>197.2</v>
      </c>
      <c r="I74" s="8">
        <v>825</v>
      </c>
      <c r="J74" s="7">
        <v>593</v>
      </c>
      <c r="K74" s="8">
        <v>1055.43</v>
      </c>
      <c r="L74" s="17">
        <v>0.1062</v>
      </c>
    </row>
    <row r="75" spans="1:12" x14ac:dyDescent="0.25">
      <c r="A75" s="6">
        <v>45169</v>
      </c>
      <c r="B75" s="7">
        <v>44.02</v>
      </c>
      <c r="C75" s="7">
        <v>177.99</v>
      </c>
      <c r="D75" s="7">
        <v>284.10000000000002</v>
      </c>
      <c r="E75" s="7">
        <v>556.15</v>
      </c>
      <c r="F75" s="8">
        <v>264.85000000000002</v>
      </c>
      <c r="G75" s="7">
        <v>1899</v>
      </c>
      <c r="H75" s="7">
        <v>196</v>
      </c>
      <c r="I75" s="8">
        <v>827</v>
      </c>
      <c r="J75" s="7">
        <v>590.20000000000005</v>
      </c>
      <c r="K75" s="8">
        <v>1059.17</v>
      </c>
      <c r="L75" s="17">
        <v>0.1051</v>
      </c>
    </row>
    <row r="76" spans="1:12" x14ac:dyDescent="0.25">
      <c r="A76" s="6">
        <v>45168</v>
      </c>
      <c r="B76" s="7">
        <v>44.12</v>
      </c>
      <c r="C76" s="7">
        <v>177.47</v>
      </c>
      <c r="D76" s="7">
        <v>286.14999999999998</v>
      </c>
      <c r="E76" s="7">
        <v>556.9</v>
      </c>
      <c r="F76" s="8">
        <v>264.7</v>
      </c>
      <c r="G76" s="7">
        <v>1920</v>
      </c>
      <c r="H76" s="7">
        <v>198.1</v>
      </c>
      <c r="I76" s="8">
        <v>832.8</v>
      </c>
      <c r="J76" s="7">
        <v>589.4</v>
      </c>
      <c r="K76" s="8">
        <v>1052.06</v>
      </c>
      <c r="L76" s="17">
        <v>0.1052</v>
      </c>
    </row>
    <row r="77" spans="1:12" x14ac:dyDescent="0.25">
      <c r="A77" s="6">
        <v>45167</v>
      </c>
      <c r="B77" s="7">
        <v>44.38</v>
      </c>
      <c r="C77" s="7">
        <v>178.69</v>
      </c>
      <c r="D77" s="7">
        <v>288.05</v>
      </c>
      <c r="E77" s="7">
        <v>558.29999999999995</v>
      </c>
      <c r="F77" s="8">
        <v>265.68</v>
      </c>
      <c r="G77" s="7">
        <v>1881</v>
      </c>
      <c r="H77" s="7">
        <v>206.5</v>
      </c>
      <c r="I77" s="8">
        <v>843</v>
      </c>
      <c r="J77" s="7">
        <v>586.5</v>
      </c>
      <c r="K77" s="8">
        <v>1059.98</v>
      </c>
      <c r="L77" s="17">
        <v>0.105</v>
      </c>
    </row>
    <row r="78" spans="1:12" x14ac:dyDescent="0.25">
      <c r="A78" s="6">
        <v>45166</v>
      </c>
      <c r="B78" s="7">
        <v>44.78</v>
      </c>
      <c r="C78" s="7">
        <v>176.2</v>
      </c>
      <c r="D78" s="7">
        <v>290.14999999999998</v>
      </c>
      <c r="E78" s="7">
        <v>545.54999999999995</v>
      </c>
      <c r="F78" s="8">
        <v>266.93</v>
      </c>
      <c r="G78" s="7">
        <v>1874</v>
      </c>
      <c r="H78" s="7">
        <v>207.3</v>
      </c>
      <c r="I78" s="8">
        <v>855</v>
      </c>
      <c r="J78" s="7">
        <v>587.5</v>
      </c>
      <c r="K78" s="8">
        <v>1057.97</v>
      </c>
      <c r="L78" s="17">
        <v>0.10440000000000001</v>
      </c>
    </row>
    <row r="79" spans="1:12" x14ac:dyDescent="0.25">
      <c r="A79" s="6">
        <v>45163</v>
      </c>
      <c r="B79" s="7">
        <v>44.34</v>
      </c>
      <c r="C79" s="7">
        <v>174.7</v>
      </c>
      <c r="D79" s="7">
        <v>289</v>
      </c>
      <c r="E79" s="7">
        <v>538.85</v>
      </c>
      <c r="F79" s="8">
        <v>260.5</v>
      </c>
      <c r="G79" s="7">
        <v>1852</v>
      </c>
      <c r="H79" s="7">
        <v>208.8</v>
      </c>
      <c r="I79" s="8">
        <v>840.5</v>
      </c>
      <c r="J79" s="7">
        <v>587.70000000000005</v>
      </c>
      <c r="K79" s="8">
        <v>1043.8399999999999</v>
      </c>
      <c r="L79" s="17">
        <v>0.1043</v>
      </c>
    </row>
    <row r="80" spans="1:12" x14ac:dyDescent="0.25">
      <c r="A80" s="6">
        <v>45162</v>
      </c>
      <c r="B80" s="7">
        <v>44.47</v>
      </c>
      <c r="C80" s="7">
        <v>174.97</v>
      </c>
      <c r="D80" s="7">
        <v>288.64999999999998</v>
      </c>
      <c r="E80" s="7">
        <v>539.79999999999995</v>
      </c>
      <c r="F80" s="8">
        <v>259.63</v>
      </c>
      <c r="G80" s="7">
        <v>1846</v>
      </c>
      <c r="H80" s="7">
        <v>217.6</v>
      </c>
      <c r="I80" s="8">
        <v>838.5</v>
      </c>
      <c r="J80" s="7">
        <v>581.6</v>
      </c>
      <c r="K80" s="8">
        <v>1043.51</v>
      </c>
      <c r="L80" s="17">
        <v>0.1038</v>
      </c>
    </row>
    <row r="81" spans="1:12" x14ac:dyDescent="0.25">
      <c r="A81" s="6">
        <v>45161</v>
      </c>
      <c r="B81" s="7">
        <v>44.14</v>
      </c>
      <c r="C81" s="7">
        <v>173.65</v>
      </c>
      <c r="D81" s="7">
        <v>285.5</v>
      </c>
      <c r="E81" s="7">
        <v>534.5</v>
      </c>
      <c r="F81" s="8">
        <v>256.39999999999998</v>
      </c>
      <c r="G81" s="7">
        <v>1849.5</v>
      </c>
      <c r="H81" s="7">
        <v>213.7</v>
      </c>
      <c r="I81" s="8">
        <v>805.3</v>
      </c>
      <c r="J81" s="7">
        <v>575.9</v>
      </c>
      <c r="K81" s="8">
        <v>1051.1500000000001</v>
      </c>
      <c r="L81" s="17">
        <v>0.10249999999999999</v>
      </c>
    </row>
    <row r="82" spans="1:12" x14ac:dyDescent="0.25">
      <c r="A82" s="6">
        <v>45160</v>
      </c>
      <c r="B82" s="7">
        <v>44.94</v>
      </c>
      <c r="C82" s="7">
        <v>176.48</v>
      </c>
      <c r="D82" s="7">
        <v>293</v>
      </c>
      <c r="E82" s="7">
        <v>549.5</v>
      </c>
      <c r="F82" s="8">
        <v>261.45</v>
      </c>
      <c r="G82" s="7">
        <v>1854</v>
      </c>
      <c r="H82" s="7">
        <v>218.9</v>
      </c>
      <c r="I82" s="8">
        <v>838.5</v>
      </c>
      <c r="J82" s="7">
        <v>590.29999999999995</v>
      </c>
      <c r="K82" s="8">
        <v>1057.56</v>
      </c>
      <c r="L82" s="17">
        <v>0.1023</v>
      </c>
    </row>
    <row r="83" spans="1:12" x14ac:dyDescent="0.25">
      <c r="A83" s="6">
        <v>45159</v>
      </c>
      <c r="B83" s="7">
        <v>44.83</v>
      </c>
      <c r="C83" s="7">
        <v>176.36</v>
      </c>
      <c r="D83" s="7">
        <v>292.39999999999998</v>
      </c>
      <c r="E83" s="7">
        <v>547.45000000000005</v>
      </c>
      <c r="F83" s="8">
        <v>261.14999999999998</v>
      </c>
      <c r="G83" s="7">
        <v>1875</v>
      </c>
      <c r="H83" s="7">
        <v>220.5</v>
      </c>
      <c r="I83" s="8">
        <v>847.8</v>
      </c>
      <c r="J83" s="7">
        <v>584.6</v>
      </c>
      <c r="K83" s="8">
        <v>1057.02</v>
      </c>
      <c r="L83" s="17">
        <v>0.1016</v>
      </c>
    </row>
    <row r="84" spans="1:12" x14ac:dyDescent="0.25">
      <c r="A84" s="6">
        <v>45156</v>
      </c>
      <c r="B84" s="7">
        <v>44.91</v>
      </c>
      <c r="C84" s="7">
        <v>175.48</v>
      </c>
      <c r="D84" s="7">
        <v>292.89999999999998</v>
      </c>
      <c r="E84" s="7">
        <v>548.20000000000005</v>
      </c>
      <c r="F84" s="8">
        <v>261.14</v>
      </c>
      <c r="G84" s="7">
        <v>1875</v>
      </c>
      <c r="H84" s="7">
        <v>216</v>
      </c>
      <c r="I84" s="8">
        <v>820.7</v>
      </c>
      <c r="J84" s="7">
        <v>575.1</v>
      </c>
      <c r="K84" s="8">
        <v>1047.03</v>
      </c>
      <c r="L84" s="17">
        <v>0.1032</v>
      </c>
    </row>
    <row r="85" spans="1:12" x14ac:dyDescent="0.25">
      <c r="A85" s="6">
        <v>45155</v>
      </c>
      <c r="B85" s="7">
        <v>44.7</v>
      </c>
      <c r="C85" s="7">
        <v>174.14</v>
      </c>
      <c r="D85" s="7">
        <v>281.39999999999998</v>
      </c>
      <c r="E85" s="7">
        <v>544.45000000000005</v>
      </c>
      <c r="F85" s="8">
        <v>258.5</v>
      </c>
      <c r="G85" s="7">
        <v>1836</v>
      </c>
      <c r="H85" s="7">
        <v>213</v>
      </c>
      <c r="I85" s="8">
        <v>780.6</v>
      </c>
      <c r="J85" s="7">
        <v>568.20000000000005</v>
      </c>
      <c r="K85" s="8">
        <v>1028.93</v>
      </c>
      <c r="L85" s="17">
        <v>0.10290000000000001</v>
      </c>
    </row>
    <row r="86" spans="1:12" x14ac:dyDescent="0.25">
      <c r="A86" s="6">
        <v>45154</v>
      </c>
      <c r="B86" s="7">
        <v>44.03</v>
      </c>
      <c r="C86" s="7">
        <v>174.14</v>
      </c>
      <c r="D86" s="7">
        <v>281.95</v>
      </c>
      <c r="E86" s="7">
        <v>532.95000000000005</v>
      </c>
      <c r="F86" s="8">
        <v>256.02</v>
      </c>
      <c r="G86" s="7">
        <v>1844.5</v>
      </c>
      <c r="H86" s="7">
        <v>209.2</v>
      </c>
      <c r="I86" s="8">
        <v>772.6</v>
      </c>
      <c r="J86" s="7">
        <v>563</v>
      </c>
      <c r="K86" s="8">
        <v>1014.61</v>
      </c>
      <c r="L86" s="17">
        <v>0.10630000000000001</v>
      </c>
    </row>
    <row r="87" spans="1:12" x14ac:dyDescent="0.25">
      <c r="A87" s="6">
        <v>45153</v>
      </c>
      <c r="B87" s="7">
        <v>45.13</v>
      </c>
      <c r="C87" s="7">
        <v>176.16</v>
      </c>
      <c r="D87" s="7">
        <v>283.2</v>
      </c>
      <c r="E87" s="7">
        <v>546.29999999999995</v>
      </c>
      <c r="F87" s="8">
        <v>260.42</v>
      </c>
      <c r="G87" s="7">
        <v>1902</v>
      </c>
      <c r="H87" s="7">
        <v>219.3</v>
      </c>
      <c r="I87" s="8">
        <v>794.8</v>
      </c>
      <c r="J87" s="7">
        <v>574</v>
      </c>
      <c r="K87" s="8">
        <v>1010.19</v>
      </c>
      <c r="L87" s="17">
        <v>0.1077</v>
      </c>
    </row>
    <row r="88" spans="1:12" x14ac:dyDescent="0.25">
      <c r="A88" s="6">
        <v>45152</v>
      </c>
      <c r="B88" s="7">
        <v>45.09</v>
      </c>
      <c r="C88" s="7">
        <v>177.09</v>
      </c>
      <c r="D88" s="7">
        <v>284.2</v>
      </c>
      <c r="E88" s="7">
        <v>539.75</v>
      </c>
      <c r="F88" s="8">
        <v>260.45</v>
      </c>
      <c r="G88" s="7">
        <v>1924.5</v>
      </c>
      <c r="H88" s="7">
        <v>219.4</v>
      </c>
      <c r="I88" s="8">
        <v>816.8</v>
      </c>
      <c r="J88" s="7">
        <v>576.29999999999995</v>
      </c>
      <c r="K88" s="8">
        <v>1009.43</v>
      </c>
      <c r="L88" s="17">
        <v>0.10009999999999999</v>
      </c>
    </row>
    <row r="89" spans="1:12" x14ac:dyDescent="0.25">
      <c r="A89" s="6">
        <v>45149</v>
      </c>
      <c r="B89" s="7">
        <v>45.84</v>
      </c>
      <c r="C89" s="7">
        <v>176.35</v>
      </c>
      <c r="D89" s="7">
        <v>291.95</v>
      </c>
      <c r="E89" s="7">
        <v>549</v>
      </c>
      <c r="F89" s="8">
        <v>266.23</v>
      </c>
      <c r="G89" s="7">
        <v>1920</v>
      </c>
      <c r="H89" s="7">
        <v>224.5</v>
      </c>
      <c r="I89" s="8">
        <v>847</v>
      </c>
      <c r="J89" s="7">
        <v>577.4</v>
      </c>
      <c r="K89" s="8">
        <v>1000.89</v>
      </c>
      <c r="L89" s="17">
        <v>9.3600000000000003E-2</v>
      </c>
    </row>
    <row r="90" spans="1:12" x14ac:dyDescent="0.25">
      <c r="A90" s="6">
        <v>45148</v>
      </c>
      <c r="B90" s="7">
        <v>45.47</v>
      </c>
      <c r="C90" s="7">
        <v>176.65</v>
      </c>
      <c r="D90" s="7">
        <v>290.25</v>
      </c>
      <c r="E90" s="7">
        <v>535.20000000000005</v>
      </c>
      <c r="F90" s="8">
        <v>266.91000000000003</v>
      </c>
      <c r="G90" s="7">
        <v>1940</v>
      </c>
      <c r="H90" s="7">
        <v>226.9</v>
      </c>
      <c r="I90" s="8">
        <v>836.2</v>
      </c>
      <c r="J90" s="7">
        <v>574.9</v>
      </c>
      <c r="K90" s="8">
        <v>1017.71</v>
      </c>
      <c r="L90" s="17">
        <v>9.2600000000000002E-2</v>
      </c>
    </row>
    <row r="91" spans="1:12" x14ac:dyDescent="0.25">
      <c r="A91" s="6">
        <v>45147</v>
      </c>
      <c r="B91" s="7">
        <v>45.25</v>
      </c>
      <c r="C91" s="7">
        <v>174.51</v>
      </c>
      <c r="D91" s="7">
        <v>289.60000000000002</v>
      </c>
      <c r="E91" s="7">
        <v>533.20000000000005</v>
      </c>
      <c r="F91" s="8">
        <v>263.91000000000003</v>
      </c>
      <c r="G91" s="7">
        <v>1871</v>
      </c>
      <c r="H91" s="7">
        <v>220.9</v>
      </c>
      <c r="I91" s="8">
        <v>814.2</v>
      </c>
      <c r="J91" s="7">
        <v>569.5</v>
      </c>
      <c r="K91" s="8">
        <v>1004.72</v>
      </c>
      <c r="L91" s="17">
        <v>9.1600000000000001E-2</v>
      </c>
    </row>
    <row r="92" spans="1:12" x14ac:dyDescent="0.25">
      <c r="A92" s="6">
        <v>45146</v>
      </c>
      <c r="B92" s="7">
        <v>45.38</v>
      </c>
      <c r="C92" s="7">
        <v>172.71</v>
      </c>
      <c r="D92" s="7">
        <v>290.60000000000002</v>
      </c>
      <c r="E92" s="7">
        <v>527.9</v>
      </c>
      <c r="F92" s="8">
        <v>264.62</v>
      </c>
      <c r="G92" s="7">
        <v>1864</v>
      </c>
      <c r="H92" s="7">
        <v>220.8</v>
      </c>
      <c r="I92" s="8">
        <v>819.1</v>
      </c>
      <c r="J92" s="7">
        <v>555.5</v>
      </c>
      <c r="K92" s="8">
        <v>999.8</v>
      </c>
      <c r="L92" s="17">
        <v>9.0999999999999998E-2</v>
      </c>
    </row>
    <row r="93" spans="1:12" x14ac:dyDescent="0.25">
      <c r="A93" s="6">
        <v>45145</v>
      </c>
      <c r="B93" s="7">
        <v>45.22</v>
      </c>
      <c r="C93" s="7">
        <v>172.52</v>
      </c>
      <c r="D93" s="7">
        <v>290.05</v>
      </c>
      <c r="E93" s="7">
        <v>524.6</v>
      </c>
      <c r="F93" s="8">
        <v>261.92</v>
      </c>
      <c r="G93" s="7">
        <v>1895.5</v>
      </c>
      <c r="H93" s="7">
        <v>219.9</v>
      </c>
      <c r="I93" s="8">
        <v>815.9</v>
      </c>
      <c r="J93" s="7">
        <v>548.70000000000005</v>
      </c>
      <c r="K93" s="8">
        <v>1017.03</v>
      </c>
      <c r="L93" s="17">
        <v>8.9800000000000005E-2</v>
      </c>
    </row>
    <row r="94" spans="1:12" x14ac:dyDescent="0.25">
      <c r="A94" s="6">
        <v>45142</v>
      </c>
      <c r="B94" s="7">
        <v>45.29</v>
      </c>
      <c r="C94" s="7">
        <v>173.46</v>
      </c>
      <c r="D94" s="7">
        <v>288.39999999999998</v>
      </c>
      <c r="E94" s="7">
        <v>521.95000000000005</v>
      </c>
      <c r="F94" s="8">
        <v>264.12</v>
      </c>
      <c r="G94" s="7">
        <v>1904</v>
      </c>
      <c r="H94" s="7">
        <v>219.3</v>
      </c>
      <c r="I94" s="8">
        <v>820.7</v>
      </c>
      <c r="J94" s="7">
        <v>541.9</v>
      </c>
      <c r="K94" s="8">
        <v>1015.74</v>
      </c>
      <c r="L94" s="17">
        <v>8.9599999999999999E-2</v>
      </c>
    </row>
    <row r="95" spans="1:12" x14ac:dyDescent="0.25">
      <c r="A95" s="6">
        <v>45141</v>
      </c>
      <c r="B95" s="7">
        <v>45.47</v>
      </c>
      <c r="C95" s="7">
        <v>177.1</v>
      </c>
      <c r="D95" s="7">
        <v>290.75</v>
      </c>
      <c r="E95" s="7">
        <v>526.70000000000005</v>
      </c>
      <c r="F95" s="8">
        <v>269.11</v>
      </c>
      <c r="G95" s="7">
        <v>1975.5</v>
      </c>
      <c r="H95" s="7">
        <v>227</v>
      </c>
      <c r="I95" s="8">
        <v>838.4</v>
      </c>
      <c r="J95" s="7">
        <v>547.70000000000005</v>
      </c>
      <c r="K95" s="8">
        <v>1046.57</v>
      </c>
      <c r="L95" s="17">
        <v>8.9099999999999999E-2</v>
      </c>
    </row>
    <row r="96" spans="1:12" x14ac:dyDescent="0.25">
      <c r="A96" s="6">
        <v>45140</v>
      </c>
      <c r="B96" s="7">
        <v>45.26</v>
      </c>
      <c r="C96" s="7">
        <v>174.07</v>
      </c>
      <c r="D96" s="7">
        <v>289.55</v>
      </c>
      <c r="E96" s="7">
        <v>522.95000000000005</v>
      </c>
      <c r="F96" s="8">
        <v>268.57</v>
      </c>
      <c r="G96" s="7">
        <v>1943</v>
      </c>
      <c r="H96" s="7">
        <v>219</v>
      </c>
      <c r="I96" s="8">
        <v>816</v>
      </c>
      <c r="J96" s="7">
        <v>537.5</v>
      </c>
      <c r="K96" s="8">
        <v>1040.1500000000001</v>
      </c>
      <c r="L96" s="17">
        <v>8.6699999999999999E-2</v>
      </c>
    </row>
    <row r="97" spans="1:12" x14ac:dyDescent="0.25">
      <c r="A97" s="6">
        <v>45139</v>
      </c>
      <c r="B97" s="7">
        <v>45.35</v>
      </c>
      <c r="C97" s="7">
        <v>173.21</v>
      </c>
      <c r="D97" s="7">
        <v>290.39999999999998</v>
      </c>
      <c r="E97" s="7">
        <v>516.70000000000005</v>
      </c>
      <c r="F97" s="8">
        <v>268.5</v>
      </c>
      <c r="G97" s="7">
        <v>1918</v>
      </c>
      <c r="H97" s="7">
        <v>220.9</v>
      </c>
      <c r="I97" s="8">
        <v>811.5</v>
      </c>
      <c r="J97" s="7">
        <v>526.5</v>
      </c>
      <c r="K97" s="8">
        <v>1055.79</v>
      </c>
      <c r="L97" s="17">
        <v>8.77E-2</v>
      </c>
    </row>
    <row r="98" spans="1:12" x14ac:dyDescent="0.25">
      <c r="A98" s="6">
        <v>45138</v>
      </c>
      <c r="B98" s="7">
        <v>45.63</v>
      </c>
      <c r="C98" s="7">
        <v>174.33</v>
      </c>
      <c r="D98" s="7">
        <v>290.10000000000002</v>
      </c>
      <c r="E98" s="7">
        <v>508.75</v>
      </c>
      <c r="F98" s="8">
        <v>267.39999999999998</v>
      </c>
      <c r="G98" s="7">
        <v>1896.5</v>
      </c>
      <c r="H98" s="7">
        <v>218.3</v>
      </c>
      <c r="I98" s="8">
        <v>783.9</v>
      </c>
      <c r="J98" s="7">
        <v>523.5</v>
      </c>
      <c r="K98" s="8">
        <v>1057.43</v>
      </c>
      <c r="L98" s="17">
        <v>8.77E-2</v>
      </c>
    </row>
    <row r="99" spans="1:12" x14ac:dyDescent="0.25">
      <c r="A99" s="6">
        <v>45135</v>
      </c>
      <c r="B99" s="7">
        <v>44.84</v>
      </c>
      <c r="C99" s="7">
        <v>171.44</v>
      </c>
      <c r="D99" s="7">
        <v>287.55</v>
      </c>
      <c r="E99" s="7">
        <v>500.65</v>
      </c>
      <c r="F99" s="8">
        <v>249.25</v>
      </c>
      <c r="G99" s="7">
        <v>1866.5</v>
      </c>
      <c r="H99" s="7">
        <v>220.5</v>
      </c>
      <c r="I99" s="8">
        <v>774.1</v>
      </c>
      <c r="J99" s="7">
        <v>516.5</v>
      </c>
      <c r="K99" s="8">
        <v>1033.67</v>
      </c>
      <c r="L99" s="17">
        <v>8.5999999999999993E-2</v>
      </c>
    </row>
    <row r="100" spans="1:12" x14ac:dyDescent="0.25">
      <c r="A100" s="6">
        <v>45134</v>
      </c>
      <c r="B100" s="7">
        <v>44.89</v>
      </c>
      <c r="C100" s="7">
        <v>172</v>
      </c>
      <c r="D100" s="7">
        <v>288.14999999999998</v>
      </c>
      <c r="E100" s="7">
        <v>493.75</v>
      </c>
      <c r="F100" s="8">
        <v>247.95</v>
      </c>
      <c r="G100" s="7">
        <v>1853</v>
      </c>
      <c r="H100" s="7">
        <v>221.9</v>
      </c>
      <c r="I100" s="8">
        <v>784.9</v>
      </c>
      <c r="J100" s="7">
        <v>509.4</v>
      </c>
      <c r="K100" s="8">
        <v>1039.04</v>
      </c>
      <c r="L100" s="17">
        <v>8.4699999999999998E-2</v>
      </c>
    </row>
    <row r="101" spans="1:12" x14ac:dyDescent="0.25">
      <c r="A101" s="6">
        <v>45133</v>
      </c>
      <c r="B101" s="7">
        <v>44.72</v>
      </c>
      <c r="C101" s="7">
        <v>171.35</v>
      </c>
      <c r="D101" s="7">
        <v>288.95</v>
      </c>
      <c r="E101" s="7">
        <v>486.9</v>
      </c>
      <c r="F101" s="8">
        <v>247.05</v>
      </c>
      <c r="G101" s="7">
        <v>1840</v>
      </c>
      <c r="H101" s="7">
        <v>222.4</v>
      </c>
      <c r="I101" s="8">
        <v>775.9</v>
      </c>
      <c r="J101" s="7">
        <v>506.4</v>
      </c>
      <c r="K101" s="8">
        <v>1038.74</v>
      </c>
      <c r="L101" s="17">
        <v>8.3599999999999994E-2</v>
      </c>
    </row>
    <row r="102" spans="1:12" x14ac:dyDescent="0.25">
      <c r="A102" s="6">
        <v>45132</v>
      </c>
      <c r="B102" s="7">
        <v>44.93</v>
      </c>
      <c r="C102" s="7">
        <v>171.86</v>
      </c>
      <c r="D102" s="7">
        <v>291.05</v>
      </c>
      <c r="E102" s="7">
        <v>489.15</v>
      </c>
      <c r="F102" s="8">
        <v>247.2</v>
      </c>
      <c r="G102" s="7">
        <v>1841</v>
      </c>
      <c r="H102" s="7">
        <v>225.3</v>
      </c>
      <c r="I102" s="8">
        <v>776.7</v>
      </c>
      <c r="J102" s="7">
        <v>509.3</v>
      </c>
      <c r="K102" s="8">
        <v>1038.57</v>
      </c>
      <c r="L102" s="17">
        <v>8.4000000000000005E-2</v>
      </c>
    </row>
    <row r="103" spans="1:12" x14ac:dyDescent="0.25">
      <c r="A103" s="6">
        <v>45131</v>
      </c>
      <c r="B103" s="7">
        <v>44.42</v>
      </c>
      <c r="C103" s="7">
        <v>171.98</v>
      </c>
      <c r="D103" s="7">
        <v>291.5</v>
      </c>
      <c r="E103" s="7">
        <v>481.6</v>
      </c>
      <c r="F103" s="8">
        <v>244.87</v>
      </c>
      <c r="G103" s="7">
        <v>1858.5</v>
      </c>
      <c r="H103" s="7">
        <v>209</v>
      </c>
      <c r="I103" s="8">
        <v>778</v>
      </c>
      <c r="J103" s="7">
        <v>498.1</v>
      </c>
      <c r="K103" s="8">
        <v>1023.34</v>
      </c>
      <c r="L103" s="17">
        <v>8.4099999999999994E-2</v>
      </c>
    </row>
    <row r="104" spans="1:12" x14ac:dyDescent="0.25">
      <c r="A104" s="6">
        <v>45128</v>
      </c>
      <c r="B104" s="7">
        <v>44.2</v>
      </c>
      <c r="C104" s="7">
        <v>171.19</v>
      </c>
      <c r="D104" s="7">
        <v>292.64999999999998</v>
      </c>
      <c r="E104" s="7">
        <v>483.2</v>
      </c>
      <c r="F104" s="8">
        <v>244.13</v>
      </c>
      <c r="G104" s="7">
        <v>1825</v>
      </c>
      <c r="H104" s="7">
        <v>203.4</v>
      </c>
      <c r="I104" s="8">
        <v>763.6</v>
      </c>
      <c r="J104" s="7">
        <v>494.7</v>
      </c>
      <c r="K104" s="8">
        <v>1012.37</v>
      </c>
      <c r="L104" s="17">
        <v>8.3799999999999999E-2</v>
      </c>
    </row>
    <row r="105" spans="1:12" x14ac:dyDescent="0.25">
      <c r="A105" s="6">
        <v>45127</v>
      </c>
      <c r="B105" s="7">
        <v>43.86</v>
      </c>
      <c r="C105" s="7">
        <v>169.92</v>
      </c>
      <c r="D105" s="7">
        <v>292.10000000000002</v>
      </c>
      <c r="E105" s="7">
        <v>475.1</v>
      </c>
      <c r="F105" s="8">
        <v>242.7</v>
      </c>
      <c r="G105" s="7">
        <v>1815.5</v>
      </c>
      <c r="H105" s="7">
        <v>200.5</v>
      </c>
      <c r="I105" s="8">
        <v>750.4</v>
      </c>
      <c r="J105" s="7">
        <v>488.6</v>
      </c>
      <c r="K105" s="8">
        <v>1016.53</v>
      </c>
      <c r="L105" s="17">
        <v>8.2799999999999999E-2</v>
      </c>
    </row>
    <row r="106" spans="1:12" x14ac:dyDescent="0.25">
      <c r="A106" s="6">
        <v>45126</v>
      </c>
      <c r="B106" s="7">
        <v>43.79</v>
      </c>
      <c r="C106" s="7">
        <v>173.04</v>
      </c>
      <c r="D106" s="7">
        <v>297.3</v>
      </c>
      <c r="E106" s="7">
        <v>485.95</v>
      </c>
      <c r="F106" s="8">
        <v>245.85</v>
      </c>
      <c r="G106" s="7">
        <v>1825</v>
      </c>
      <c r="H106" s="7">
        <v>206.3</v>
      </c>
      <c r="I106" s="8">
        <v>783.2</v>
      </c>
      <c r="J106" s="7">
        <v>496.5</v>
      </c>
      <c r="K106" s="8">
        <v>1015.13</v>
      </c>
      <c r="L106" s="17">
        <v>8.3000000000000004E-2</v>
      </c>
    </row>
    <row r="107" spans="1:12" x14ac:dyDescent="0.25">
      <c r="A107" s="6">
        <v>45125</v>
      </c>
      <c r="B107" s="7">
        <v>44.36</v>
      </c>
      <c r="C107" s="7">
        <v>174.89</v>
      </c>
      <c r="D107" s="7">
        <v>296.05</v>
      </c>
      <c r="E107" s="7">
        <v>490.15</v>
      </c>
      <c r="F107" s="8">
        <v>246.77</v>
      </c>
      <c r="G107" s="7">
        <v>1831.5</v>
      </c>
      <c r="H107" s="7">
        <v>205.3</v>
      </c>
      <c r="I107" s="8">
        <v>787.8</v>
      </c>
      <c r="J107" s="7">
        <v>497.7</v>
      </c>
      <c r="K107" s="8">
        <v>1024.98</v>
      </c>
      <c r="L107" s="17">
        <v>8.1900000000000001E-2</v>
      </c>
    </row>
    <row r="108" spans="1:12" x14ac:dyDescent="0.25">
      <c r="A108" s="6">
        <v>45124</v>
      </c>
      <c r="B108" s="7">
        <v>42.58</v>
      </c>
      <c r="C108" s="7">
        <v>170.63</v>
      </c>
      <c r="D108" s="7">
        <v>295.14999999999998</v>
      </c>
      <c r="E108" s="7">
        <v>489.3</v>
      </c>
      <c r="F108" s="8">
        <v>245.39</v>
      </c>
      <c r="G108" s="7">
        <v>1846</v>
      </c>
      <c r="H108" s="7">
        <v>207</v>
      </c>
      <c r="I108" s="8">
        <v>789.3</v>
      </c>
      <c r="J108" s="7">
        <v>496.4</v>
      </c>
      <c r="K108" s="8">
        <v>1009.79</v>
      </c>
      <c r="L108" s="17">
        <v>8.2100000000000006E-2</v>
      </c>
    </row>
    <row r="109" spans="1:12" x14ac:dyDescent="0.25">
      <c r="A109" s="6">
        <v>45121</v>
      </c>
      <c r="B109" s="7">
        <v>42.39</v>
      </c>
      <c r="C109" s="7">
        <v>169.7</v>
      </c>
      <c r="D109" s="7">
        <v>296.8</v>
      </c>
      <c r="E109" s="7">
        <v>487.65</v>
      </c>
      <c r="F109" s="8">
        <v>246.45</v>
      </c>
      <c r="G109" s="7">
        <v>1851</v>
      </c>
      <c r="H109" s="7">
        <v>199</v>
      </c>
      <c r="I109" s="8">
        <v>771.8</v>
      </c>
      <c r="J109" s="7">
        <v>496</v>
      </c>
      <c r="K109" s="8">
        <v>1014.62</v>
      </c>
      <c r="L109" s="17">
        <v>8.1000000000000003E-2</v>
      </c>
    </row>
    <row r="110" spans="1:12" x14ac:dyDescent="0.25">
      <c r="A110" s="6">
        <v>45120</v>
      </c>
      <c r="B110" s="7">
        <v>42.39</v>
      </c>
      <c r="C110" s="7">
        <v>168.96</v>
      </c>
      <c r="D110" s="7">
        <v>297.85000000000002</v>
      </c>
      <c r="E110" s="7">
        <v>488.4</v>
      </c>
      <c r="F110" s="8">
        <v>246.19</v>
      </c>
      <c r="G110" s="7">
        <v>1839.5</v>
      </c>
      <c r="H110" s="7">
        <v>193.6</v>
      </c>
      <c r="I110" s="8">
        <v>775.2</v>
      </c>
      <c r="J110" s="7">
        <v>494.7</v>
      </c>
      <c r="K110" s="8">
        <v>1008.56</v>
      </c>
      <c r="L110" s="17">
        <v>8.0500000000000002E-2</v>
      </c>
    </row>
    <row r="111" spans="1:12" x14ac:dyDescent="0.25">
      <c r="A111" s="6">
        <v>45119</v>
      </c>
      <c r="B111" s="7">
        <v>42.12</v>
      </c>
      <c r="C111" s="7">
        <v>170.3</v>
      </c>
      <c r="D111" s="7">
        <v>298.7</v>
      </c>
      <c r="E111" s="7">
        <v>487.05</v>
      </c>
      <c r="F111" s="8">
        <v>247.52</v>
      </c>
      <c r="G111" s="7">
        <v>1868</v>
      </c>
      <c r="H111" s="7">
        <v>195.1</v>
      </c>
      <c r="I111" s="8">
        <v>771.6</v>
      </c>
      <c r="J111" s="7">
        <v>495.6</v>
      </c>
      <c r="K111" s="8">
        <v>1004.98</v>
      </c>
      <c r="L111" s="17">
        <v>8.09E-2</v>
      </c>
    </row>
    <row r="112" spans="1:12" x14ac:dyDescent="0.25">
      <c r="A112" s="6">
        <v>45118</v>
      </c>
      <c r="B112" s="7">
        <v>41.85</v>
      </c>
      <c r="C112" s="7">
        <v>168.85</v>
      </c>
      <c r="D112" s="7">
        <v>300</v>
      </c>
      <c r="E112" s="7">
        <v>478.8</v>
      </c>
      <c r="F112" s="8">
        <v>247.99</v>
      </c>
      <c r="G112" s="7">
        <v>1890.5</v>
      </c>
      <c r="H112" s="7">
        <v>192</v>
      </c>
      <c r="I112" s="8">
        <v>775.9</v>
      </c>
      <c r="J112" s="7">
        <v>490.7</v>
      </c>
      <c r="K112" s="8">
        <v>997.64</v>
      </c>
      <c r="L112" s="17">
        <v>8.0199999999999994E-2</v>
      </c>
    </row>
    <row r="113" spans="1:12" x14ac:dyDescent="0.25">
      <c r="A113" s="6">
        <v>45117</v>
      </c>
      <c r="B113" s="7">
        <v>42.09</v>
      </c>
      <c r="C113" s="7">
        <v>167.59</v>
      </c>
      <c r="D113" s="7">
        <v>302.2</v>
      </c>
      <c r="E113" s="7">
        <v>477.45</v>
      </c>
      <c r="F113" s="8">
        <v>249.4</v>
      </c>
      <c r="G113" s="7">
        <v>1907</v>
      </c>
      <c r="H113" s="7">
        <v>192.7</v>
      </c>
      <c r="I113" s="8">
        <v>765.8</v>
      </c>
      <c r="J113" s="7">
        <v>487.9</v>
      </c>
      <c r="K113" s="8">
        <v>993.19</v>
      </c>
      <c r="L113" s="17">
        <v>0.08</v>
      </c>
    </row>
    <row r="114" spans="1:12" x14ac:dyDescent="0.25">
      <c r="A114" s="6">
        <v>45114</v>
      </c>
      <c r="B114" s="7">
        <v>41.43</v>
      </c>
      <c r="C114" s="7">
        <v>166.34</v>
      </c>
      <c r="D114" s="7">
        <v>296.55</v>
      </c>
      <c r="E114" s="7">
        <v>482.4</v>
      </c>
      <c r="F114" s="8">
        <v>243.67</v>
      </c>
      <c r="G114" s="7">
        <v>1841</v>
      </c>
      <c r="H114" s="7">
        <v>191.2</v>
      </c>
      <c r="I114" s="8">
        <v>760.4</v>
      </c>
      <c r="J114" s="7">
        <v>501</v>
      </c>
      <c r="K114" s="8">
        <v>976.08</v>
      </c>
      <c r="L114" s="17">
        <v>7.9399999999999998E-2</v>
      </c>
    </row>
    <row r="115" spans="1:12" x14ac:dyDescent="0.25">
      <c r="A115" s="6">
        <v>45113</v>
      </c>
      <c r="B115" s="7">
        <v>41.44</v>
      </c>
      <c r="C115" s="7">
        <v>166.36</v>
      </c>
      <c r="D115" s="7">
        <v>296.14999999999998</v>
      </c>
      <c r="E115" s="7">
        <v>476.75</v>
      </c>
      <c r="F115" s="8">
        <v>240.96</v>
      </c>
      <c r="G115" s="7">
        <v>1737</v>
      </c>
      <c r="H115" s="7">
        <v>192.5</v>
      </c>
      <c r="I115" s="8">
        <v>755.8</v>
      </c>
      <c r="J115" s="7">
        <v>499.2</v>
      </c>
      <c r="K115" s="8">
        <v>970.93</v>
      </c>
      <c r="L115" s="17">
        <v>7.9399999999999998E-2</v>
      </c>
    </row>
    <row r="116" spans="1:12" x14ac:dyDescent="0.25">
      <c r="A116" s="6">
        <v>45112</v>
      </c>
      <c r="B116" s="7">
        <v>41.89</v>
      </c>
      <c r="C116" s="7">
        <v>165.71</v>
      </c>
      <c r="D116" s="7">
        <v>298.7</v>
      </c>
      <c r="E116" s="7">
        <v>473.9</v>
      </c>
      <c r="F116" s="8">
        <v>240.95</v>
      </c>
      <c r="G116" s="7">
        <v>2000</v>
      </c>
      <c r="H116" s="7">
        <v>192.8</v>
      </c>
      <c r="I116" s="8">
        <v>754.8</v>
      </c>
      <c r="J116" s="7">
        <v>501.7</v>
      </c>
      <c r="K116" s="8">
        <v>969.33</v>
      </c>
      <c r="L116" s="17">
        <v>7.9399999999999998E-2</v>
      </c>
    </row>
    <row r="117" spans="1:12" x14ac:dyDescent="0.25">
      <c r="A117" s="6">
        <v>45111</v>
      </c>
      <c r="B117" s="7">
        <v>41.31</v>
      </c>
      <c r="C117" s="7">
        <v>165.5</v>
      </c>
      <c r="D117" s="7">
        <v>292.5</v>
      </c>
      <c r="E117" s="7">
        <v>473.4</v>
      </c>
      <c r="F117" s="8">
        <v>240.7</v>
      </c>
      <c r="G117" s="7">
        <v>1994.5</v>
      </c>
      <c r="H117" s="7">
        <v>190.5</v>
      </c>
      <c r="I117" s="8">
        <v>754.4</v>
      </c>
      <c r="J117" s="7">
        <v>493.4</v>
      </c>
      <c r="K117" s="8">
        <v>987.43</v>
      </c>
      <c r="L117" s="17">
        <v>7.9500000000000001E-2</v>
      </c>
    </row>
    <row r="118" spans="1:12" x14ac:dyDescent="0.25">
      <c r="A118" s="6">
        <v>45110</v>
      </c>
      <c r="B118" s="7">
        <v>42.2</v>
      </c>
      <c r="C118" s="7">
        <v>166.82</v>
      </c>
      <c r="D118" s="7">
        <v>287.8</v>
      </c>
      <c r="E118" s="7">
        <v>478.05</v>
      </c>
      <c r="F118" s="8">
        <v>243.33</v>
      </c>
      <c r="G118" s="7">
        <v>2052</v>
      </c>
      <c r="H118" s="7">
        <v>194.2</v>
      </c>
      <c r="I118" s="8">
        <v>771</v>
      </c>
      <c r="J118" s="7">
        <v>500.1</v>
      </c>
      <c r="K118" s="8">
        <v>992.94</v>
      </c>
      <c r="L118" s="17">
        <v>8.0399999999999999E-2</v>
      </c>
    </row>
    <row r="119" spans="1:12" x14ac:dyDescent="0.25">
      <c r="A119" s="6">
        <v>45107</v>
      </c>
      <c r="B119" s="7">
        <v>42.7</v>
      </c>
      <c r="C119" s="7">
        <v>166.86</v>
      </c>
      <c r="D119" s="7">
        <v>296.75</v>
      </c>
      <c r="E119" s="7">
        <v>482.35</v>
      </c>
      <c r="F119" s="8">
        <v>239.61</v>
      </c>
      <c r="G119" s="7">
        <v>2134</v>
      </c>
      <c r="H119" s="7">
        <v>190.2</v>
      </c>
      <c r="I119" s="8">
        <v>758.3</v>
      </c>
      <c r="J119" s="7">
        <v>505.7</v>
      </c>
      <c r="K119" s="8">
        <v>982.94</v>
      </c>
      <c r="L119" s="17">
        <v>7.9799999999999996E-2</v>
      </c>
    </row>
    <row r="120" spans="1:12" x14ac:dyDescent="0.25">
      <c r="A120" s="6">
        <v>45106</v>
      </c>
      <c r="B120" s="7">
        <v>43.01</v>
      </c>
      <c r="C120" s="7">
        <v>167.88</v>
      </c>
      <c r="D120" s="7">
        <v>303.5</v>
      </c>
      <c r="E120" s="7">
        <v>482.1</v>
      </c>
      <c r="F120" s="8">
        <v>239.99</v>
      </c>
      <c r="G120" s="7">
        <v>2157</v>
      </c>
      <c r="H120" s="7">
        <v>189.6</v>
      </c>
      <c r="I120" s="8">
        <v>753</v>
      </c>
      <c r="J120" s="7">
        <v>507.7</v>
      </c>
      <c r="K120" s="8">
        <v>1006.83</v>
      </c>
      <c r="L120" s="17">
        <v>7.9699999999999993E-2</v>
      </c>
    </row>
    <row r="121" spans="1:12" x14ac:dyDescent="0.25">
      <c r="A121" s="6">
        <v>45105</v>
      </c>
      <c r="B121" s="7">
        <v>42.19</v>
      </c>
      <c r="C121" s="7">
        <v>168.05</v>
      </c>
      <c r="D121" s="7">
        <v>305.45</v>
      </c>
      <c r="E121" s="7">
        <v>477.05</v>
      </c>
      <c r="F121" s="8">
        <v>239.67</v>
      </c>
      <c r="G121" s="7">
        <v>2162</v>
      </c>
      <c r="H121" s="7">
        <v>189.6</v>
      </c>
      <c r="I121" s="8">
        <v>750</v>
      </c>
      <c r="J121" s="7">
        <v>500</v>
      </c>
      <c r="K121" s="8">
        <v>1014.68</v>
      </c>
      <c r="L121" s="17">
        <v>7.9299999999999995E-2</v>
      </c>
    </row>
    <row r="122" spans="1:12" x14ac:dyDescent="0.25">
      <c r="A122" s="6">
        <v>45104</v>
      </c>
      <c r="B122" s="7">
        <v>42.3</v>
      </c>
      <c r="C122" s="7">
        <v>166.45</v>
      </c>
      <c r="D122" s="7">
        <v>346.95</v>
      </c>
      <c r="E122" s="7">
        <v>475.85</v>
      </c>
      <c r="F122" s="8">
        <v>241.21</v>
      </c>
      <c r="G122" s="7">
        <v>2147</v>
      </c>
      <c r="H122" s="7">
        <v>190.7</v>
      </c>
      <c r="I122" s="8">
        <v>739.4</v>
      </c>
      <c r="J122" s="7">
        <v>497.9</v>
      </c>
      <c r="K122" s="8">
        <v>1028.24</v>
      </c>
      <c r="L122" s="17">
        <v>7.8299999999999995E-2</v>
      </c>
    </row>
    <row r="123" spans="1:12" x14ac:dyDescent="0.25">
      <c r="A123" s="6">
        <v>45103</v>
      </c>
      <c r="B123" s="7">
        <v>41.42</v>
      </c>
      <c r="C123" s="7">
        <v>166.91</v>
      </c>
      <c r="D123" s="7">
        <v>344.2</v>
      </c>
      <c r="E123" s="7">
        <v>474.4</v>
      </c>
      <c r="F123" s="8">
        <v>238.4</v>
      </c>
      <c r="G123" s="7">
        <v>2135.5</v>
      </c>
      <c r="H123" s="7">
        <v>189.5</v>
      </c>
      <c r="I123" s="8">
        <v>742.6</v>
      </c>
      <c r="J123" s="7">
        <v>498.5</v>
      </c>
      <c r="K123" s="8">
        <v>1021.38</v>
      </c>
      <c r="L123" s="17">
        <v>7.9299999999999995E-2</v>
      </c>
    </row>
    <row r="124" spans="1:12" x14ac:dyDescent="0.25">
      <c r="A124" s="6">
        <v>45100</v>
      </c>
      <c r="B124" s="7">
        <v>40.71</v>
      </c>
      <c r="C124" s="7">
        <v>165.8</v>
      </c>
      <c r="D124" s="7">
        <v>339.75</v>
      </c>
      <c r="E124" s="7">
        <v>467.55</v>
      </c>
      <c r="F124" s="8">
        <v>235.67</v>
      </c>
      <c r="G124" s="7">
        <v>2125</v>
      </c>
      <c r="H124" s="7">
        <v>187.6</v>
      </c>
      <c r="I124" s="8">
        <v>749</v>
      </c>
      <c r="J124" s="7">
        <v>494.6</v>
      </c>
      <c r="K124" s="8">
        <v>1039.99</v>
      </c>
      <c r="L124" s="17">
        <v>7.9100000000000004E-2</v>
      </c>
    </row>
    <row r="125" spans="1:12" x14ac:dyDescent="0.25">
      <c r="A125" s="6">
        <v>45099</v>
      </c>
      <c r="B125" s="7">
        <v>42.05</v>
      </c>
      <c r="C125" s="7">
        <v>168.41</v>
      </c>
      <c r="D125" s="7">
        <v>345.6</v>
      </c>
      <c r="E125" s="7">
        <v>475.45</v>
      </c>
      <c r="F125" s="8">
        <v>240.66</v>
      </c>
      <c r="G125" s="7">
        <v>2130</v>
      </c>
      <c r="H125" s="7">
        <v>193.5</v>
      </c>
      <c r="I125" s="8">
        <v>770.5</v>
      </c>
      <c r="J125" s="7">
        <v>504.3</v>
      </c>
      <c r="K125" s="8">
        <v>1056.18</v>
      </c>
      <c r="L125" s="17">
        <v>7.8899999999999998E-2</v>
      </c>
    </row>
    <row r="126" spans="1:12" x14ac:dyDescent="0.25">
      <c r="A126" s="6">
        <v>45098</v>
      </c>
      <c r="B126" s="7">
        <v>43.16</v>
      </c>
      <c r="C126" s="7">
        <v>170.2</v>
      </c>
      <c r="D126" s="7">
        <v>346.55</v>
      </c>
      <c r="E126" s="7">
        <v>481.35</v>
      </c>
      <c r="F126" s="8">
        <v>242.2</v>
      </c>
      <c r="G126" s="7">
        <v>2121</v>
      </c>
      <c r="H126" s="7">
        <v>197.7</v>
      </c>
      <c r="I126" s="8">
        <v>773.4</v>
      </c>
      <c r="J126" s="7">
        <v>503.3</v>
      </c>
      <c r="K126" s="8">
        <v>1057.74</v>
      </c>
      <c r="L126" s="17">
        <v>7.9200000000000007E-2</v>
      </c>
    </row>
    <row r="127" spans="1:12" x14ac:dyDescent="0.25">
      <c r="A127" s="6">
        <v>45097</v>
      </c>
      <c r="B127" s="7">
        <v>42.81</v>
      </c>
      <c r="C127" s="7">
        <v>169.64</v>
      </c>
      <c r="D127" s="7">
        <v>345.65</v>
      </c>
      <c r="E127" s="7">
        <v>483.4</v>
      </c>
      <c r="F127" s="8">
        <v>241.74</v>
      </c>
      <c r="G127" s="7">
        <v>2110.5</v>
      </c>
      <c r="H127" s="7">
        <v>193.6</v>
      </c>
      <c r="I127" s="8">
        <v>779.1</v>
      </c>
      <c r="J127" s="7">
        <v>503.6</v>
      </c>
      <c r="K127" s="8">
        <v>1042.9100000000001</v>
      </c>
      <c r="L127" s="17">
        <v>7.8700000000000006E-2</v>
      </c>
    </row>
    <row r="128" spans="1:12" x14ac:dyDescent="0.25">
      <c r="A128" s="6">
        <v>45096</v>
      </c>
      <c r="B128" s="7">
        <v>43.26</v>
      </c>
      <c r="C128" s="7">
        <v>170.19</v>
      </c>
      <c r="D128" s="7">
        <v>343.7</v>
      </c>
      <c r="E128" s="7">
        <v>485.85</v>
      </c>
      <c r="F128" s="8">
        <v>242.28</v>
      </c>
      <c r="G128" s="7">
        <v>2038</v>
      </c>
      <c r="H128" s="7">
        <v>192.9</v>
      </c>
      <c r="I128" s="8">
        <v>760.5</v>
      </c>
      <c r="J128" s="7">
        <v>503.6</v>
      </c>
      <c r="K128" s="8">
        <v>1054.31</v>
      </c>
      <c r="L128" s="17">
        <v>7.85E-2</v>
      </c>
    </row>
    <row r="129" spans="1:12" x14ac:dyDescent="0.25">
      <c r="A129" s="6">
        <v>45093</v>
      </c>
      <c r="B129" s="7">
        <v>43.38</v>
      </c>
      <c r="C129" s="7">
        <v>169.87</v>
      </c>
      <c r="D129" s="7">
        <v>341.95</v>
      </c>
      <c r="E129" s="7">
        <v>480.4</v>
      </c>
      <c r="F129" s="8">
        <v>243.87</v>
      </c>
      <c r="G129" s="7">
        <v>2000</v>
      </c>
      <c r="H129" s="7">
        <v>192.5</v>
      </c>
      <c r="I129" s="8">
        <v>739.2</v>
      </c>
      <c r="J129" s="7">
        <v>511.7</v>
      </c>
      <c r="K129" s="8">
        <v>1047.47</v>
      </c>
      <c r="L129" s="17">
        <v>7.8E-2</v>
      </c>
    </row>
    <row r="130" spans="1:12" x14ac:dyDescent="0.25">
      <c r="A130" s="6">
        <v>45092</v>
      </c>
      <c r="B130" s="7">
        <v>43.25</v>
      </c>
      <c r="C130" s="7">
        <v>171.86</v>
      </c>
      <c r="D130" s="7">
        <v>336.55</v>
      </c>
      <c r="E130" s="7">
        <v>481.75</v>
      </c>
      <c r="F130" s="8">
        <v>245.18</v>
      </c>
      <c r="G130" s="7">
        <v>1978.5</v>
      </c>
      <c r="H130" s="7">
        <v>193.7</v>
      </c>
      <c r="I130" s="8">
        <v>750.3</v>
      </c>
      <c r="J130" s="7">
        <v>515</v>
      </c>
      <c r="K130" s="8">
        <v>1054.3</v>
      </c>
      <c r="L130" s="17">
        <v>7.7799999999999994E-2</v>
      </c>
    </row>
    <row r="131" spans="1:12" x14ac:dyDescent="0.25">
      <c r="A131" s="6">
        <v>45091</v>
      </c>
      <c r="B131" s="7">
        <v>41.18</v>
      </c>
      <c r="C131" s="7">
        <v>167.88</v>
      </c>
      <c r="D131" s="7">
        <v>330.3</v>
      </c>
      <c r="E131" s="7">
        <v>478.4</v>
      </c>
      <c r="F131" s="8">
        <v>244.6</v>
      </c>
      <c r="G131" s="7">
        <v>1973</v>
      </c>
      <c r="H131" s="7">
        <v>191</v>
      </c>
      <c r="I131" s="8">
        <v>736.9</v>
      </c>
      <c r="J131" s="7">
        <v>488.1</v>
      </c>
      <c r="K131" s="8">
        <v>1035.79</v>
      </c>
      <c r="L131" s="17">
        <v>7.8600000000000003E-2</v>
      </c>
    </row>
    <row r="132" spans="1:12" x14ac:dyDescent="0.25">
      <c r="A132" s="6">
        <v>45090</v>
      </c>
      <c r="B132" s="7">
        <v>40.67</v>
      </c>
      <c r="C132" s="7">
        <v>168.43</v>
      </c>
      <c r="D132" s="7">
        <v>330.5</v>
      </c>
      <c r="E132" s="7">
        <v>479.85</v>
      </c>
      <c r="F132" s="8">
        <v>244.33</v>
      </c>
      <c r="G132" s="7">
        <v>1972.5</v>
      </c>
      <c r="H132" s="7">
        <v>190.7</v>
      </c>
      <c r="I132" s="8">
        <v>728.1</v>
      </c>
      <c r="J132" s="7">
        <v>481</v>
      </c>
      <c r="K132" s="8">
        <v>1030.6400000000001</v>
      </c>
      <c r="L132" s="17">
        <v>7.8399999999999997E-2</v>
      </c>
    </row>
    <row r="133" spans="1:12" x14ac:dyDescent="0.25">
      <c r="A133" s="6">
        <v>45086</v>
      </c>
      <c r="B133" s="7">
        <v>40.06</v>
      </c>
      <c r="C133" s="7">
        <v>165.58</v>
      </c>
      <c r="D133" s="7">
        <v>328.9</v>
      </c>
      <c r="E133" s="7">
        <v>463.5</v>
      </c>
      <c r="F133" s="8">
        <v>240.4</v>
      </c>
      <c r="G133" s="7">
        <v>1943</v>
      </c>
      <c r="H133" s="7">
        <v>187.7</v>
      </c>
      <c r="I133" s="8">
        <v>709.6</v>
      </c>
      <c r="J133" s="7">
        <v>472.4</v>
      </c>
      <c r="K133" s="8">
        <v>1032.29</v>
      </c>
      <c r="L133" s="17">
        <v>7.7799999999999994E-2</v>
      </c>
    </row>
    <row r="134" spans="1:12" x14ac:dyDescent="0.25">
      <c r="A134" s="6">
        <v>45085</v>
      </c>
      <c r="B134" s="7">
        <v>39.479999999999997</v>
      </c>
      <c r="C134" s="7">
        <v>166.18</v>
      </c>
      <c r="D134" s="7">
        <v>324.8</v>
      </c>
      <c r="E134" s="7">
        <v>458.15</v>
      </c>
      <c r="F134" s="8">
        <v>241.77</v>
      </c>
      <c r="G134" s="7">
        <v>1961</v>
      </c>
      <c r="H134" s="7">
        <v>189.7</v>
      </c>
      <c r="I134" s="8">
        <v>713</v>
      </c>
      <c r="J134" s="7">
        <v>470.9</v>
      </c>
      <c r="K134" s="8">
        <v>1032.8499999999999</v>
      </c>
      <c r="L134" s="17">
        <v>7.8E-2</v>
      </c>
    </row>
    <row r="135" spans="1:12" x14ac:dyDescent="0.25">
      <c r="A135" s="6">
        <v>45084</v>
      </c>
      <c r="B135" s="7">
        <v>39.49</v>
      </c>
      <c r="C135" s="7">
        <v>164.65</v>
      </c>
      <c r="D135" s="7">
        <v>326.60000000000002</v>
      </c>
      <c r="E135" s="7">
        <v>459.85</v>
      </c>
      <c r="F135" s="8">
        <v>241.25</v>
      </c>
      <c r="G135" s="7">
        <v>1973</v>
      </c>
      <c r="H135" s="7">
        <v>189.8</v>
      </c>
      <c r="I135" s="8">
        <v>707.2</v>
      </c>
      <c r="J135" s="7">
        <v>470.7</v>
      </c>
      <c r="K135" s="8">
        <v>1035.93</v>
      </c>
      <c r="L135" s="17">
        <v>7.7799999999999994E-2</v>
      </c>
    </row>
    <row r="136" spans="1:12" x14ac:dyDescent="0.25">
      <c r="A136" s="6">
        <v>45083</v>
      </c>
      <c r="B136" s="7">
        <v>39.200000000000003</v>
      </c>
      <c r="C136" s="7">
        <v>163.16</v>
      </c>
      <c r="D136" s="7">
        <v>327.95</v>
      </c>
      <c r="E136" s="7">
        <v>462.1</v>
      </c>
      <c r="F136" s="8">
        <v>240.91</v>
      </c>
      <c r="G136" s="7">
        <v>1982</v>
      </c>
      <c r="H136" s="7">
        <v>188.7</v>
      </c>
      <c r="I136" s="8">
        <v>709.8</v>
      </c>
      <c r="J136" s="7">
        <v>473</v>
      </c>
      <c r="K136" s="8">
        <v>1038.18</v>
      </c>
      <c r="L136" s="17">
        <v>7.7899999999999997E-2</v>
      </c>
    </row>
    <row r="137" spans="1:12" x14ac:dyDescent="0.25">
      <c r="A137" s="6">
        <v>45082</v>
      </c>
      <c r="B137" s="7">
        <v>39.200000000000003</v>
      </c>
      <c r="C137" s="7">
        <v>162.47</v>
      </c>
      <c r="D137" s="7">
        <v>329.6</v>
      </c>
      <c r="E137" s="7">
        <v>458.6</v>
      </c>
      <c r="F137" s="8">
        <v>237.12</v>
      </c>
      <c r="G137" s="7">
        <v>1987</v>
      </c>
      <c r="H137" s="7">
        <v>188.2</v>
      </c>
      <c r="I137" s="8">
        <v>708.5</v>
      </c>
      <c r="J137" s="7">
        <v>475</v>
      </c>
      <c r="K137" s="8">
        <v>1048.3699999999999</v>
      </c>
      <c r="L137" s="17">
        <v>7.8100000000000003E-2</v>
      </c>
    </row>
    <row r="138" spans="1:12" x14ac:dyDescent="0.25">
      <c r="A138" s="6">
        <v>45079</v>
      </c>
      <c r="B138" s="7">
        <v>40</v>
      </c>
      <c r="C138" s="7">
        <v>162.58000000000001</v>
      </c>
      <c r="D138" s="7">
        <v>326.85000000000002</v>
      </c>
      <c r="E138" s="7">
        <v>458.95</v>
      </c>
      <c r="F138" s="8">
        <v>243.95</v>
      </c>
      <c r="G138" s="7">
        <v>1999</v>
      </c>
      <c r="H138" s="7">
        <v>190.2</v>
      </c>
      <c r="I138" s="8">
        <v>706</v>
      </c>
      <c r="J138" s="7">
        <v>463.7</v>
      </c>
      <c r="K138" s="8">
        <v>1051.53</v>
      </c>
      <c r="L138" s="17">
        <v>7.8E-2</v>
      </c>
    </row>
    <row r="139" spans="1:12" x14ac:dyDescent="0.25">
      <c r="A139" s="6">
        <v>45078</v>
      </c>
      <c r="B139" s="7">
        <v>39.299999999999997</v>
      </c>
      <c r="C139" s="7">
        <v>161.55000000000001</v>
      </c>
      <c r="D139" s="7">
        <v>317.35000000000002</v>
      </c>
      <c r="E139" s="7">
        <v>451.5</v>
      </c>
      <c r="F139" s="8">
        <v>241.66</v>
      </c>
      <c r="G139" s="7">
        <v>1991</v>
      </c>
      <c r="H139" s="7">
        <v>188.6</v>
      </c>
      <c r="I139" s="8">
        <v>691.1</v>
      </c>
      <c r="J139" s="7">
        <v>450.3</v>
      </c>
      <c r="K139" s="8">
        <v>1061.8900000000001</v>
      </c>
      <c r="L139" s="17">
        <v>7.7799999999999994E-2</v>
      </c>
    </row>
    <row r="140" spans="1:12" x14ac:dyDescent="0.25">
      <c r="A140" s="6">
        <v>45077</v>
      </c>
      <c r="B140" s="7">
        <v>40.06</v>
      </c>
      <c r="C140" s="7">
        <v>162.94</v>
      </c>
      <c r="D140" s="7">
        <v>317.10000000000002</v>
      </c>
      <c r="E140" s="7">
        <v>450.1</v>
      </c>
      <c r="F140" s="8">
        <v>246.17</v>
      </c>
      <c r="G140" s="7">
        <v>1993.5</v>
      </c>
      <c r="H140" s="7">
        <v>190.3</v>
      </c>
      <c r="I140" s="8">
        <v>711.6</v>
      </c>
      <c r="J140" s="7">
        <v>443.2</v>
      </c>
      <c r="K140" s="8">
        <v>1055.4100000000001</v>
      </c>
      <c r="L140" s="17">
        <v>7.7399999999999997E-2</v>
      </c>
    </row>
    <row r="141" spans="1:12" x14ac:dyDescent="0.25">
      <c r="A141" s="6">
        <v>45076</v>
      </c>
      <c r="B141" s="7">
        <v>39.909999999999997</v>
      </c>
      <c r="C141" s="7">
        <v>161.9</v>
      </c>
      <c r="D141" s="7">
        <v>316.60000000000002</v>
      </c>
      <c r="E141" s="7">
        <v>434.5</v>
      </c>
      <c r="F141" s="8">
        <v>244.65</v>
      </c>
      <c r="G141" s="7">
        <v>1959.5</v>
      </c>
      <c r="H141" s="7">
        <v>190.1</v>
      </c>
      <c r="I141" s="8">
        <v>707.4</v>
      </c>
      <c r="J141" s="7">
        <v>438.9</v>
      </c>
      <c r="K141" s="8">
        <v>1047.5999999999999</v>
      </c>
      <c r="L141" s="17">
        <v>7.7399999999999997E-2</v>
      </c>
    </row>
    <row r="142" spans="1:12" x14ac:dyDescent="0.25">
      <c r="A142" s="6">
        <v>45075</v>
      </c>
      <c r="B142" s="7">
        <v>40.53</v>
      </c>
      <c r="C142" s="7">
        <v>163.6</v>
      </c>
      <c r="D142" s="7">
        <v>313.64999999999998</v>
      </c>
      <c r="E142" s="7">
        <v>440.45</v>
      </c>
      <c r="F142" s="8">
        <v>251.18</v>
      </c>
      <c r="G142" s="7">
        <v>1842</v>
      </c>
      <c r="H142" s="7">
        <v>191.3</v>
      </c>
      <c r="I142" s="8">
        <v>709.6</v>
      </c>
      <c r="J142" s="7">
        <v>441.7</v>
      </c>
      <c r="K142" s="8">
        <v>1064.18</v>
      </c>
      <c r="L142" s="17">
        <v>7.8E-2</v>
      </c>
    </row>
    <row r="143" spans="1:12" x14ac:dyDescent="0.25">
      <c r="A143" s="6">
        <v>45072</v>
      </c>
      <c r="B143" s="7">
        <v>40.15</v>
      </c>
      <c r="C143" s="7">
        <v>164.48</v>
      </c>
      <c r="D143" s="7">
        <v>308</v>
      </c>
      <c r="E143" s="7">
        <v>432.9</v>
      </c>
      <c r="F143" s="8">
        <v>248.1</v>
      </c>
      <c r="G143" s="7">
        <v>1723</v>
      </c>
      <c r="H143" s="7">
        <v>188.7</v>
      </c>
      <c r="I143" s="8">
        <v>689.8</v>
      </c>
      <c r="J143" s="7">
        <v>429.5</v>
      </c>
      <c r="K143" s="8">
        <v>1055.6300000000001</v>
      </c>
      <c r="L143" s="17">
        <v>7.6799999999999993E-2</v>
      </c>
    </row>
    <row r="144" spans="1:12" x14ac:dyDescent="0.25">
      <c r="A144" s="6">
        <v>45071</v>
      </c>
      <c r="B144" s="7">
        <v>39.979999999999997</v>
      </c>
      <c r="C144" s="7">
        <v>162.30000000000001</v>
      </c>
      <c r="D144" s="7">
        <v>306.39999999999998</v>
      </c>
      <c r="E144" s="7">
        <v>430.15</v>
      </c>
      <c r="F144" s="8">
        <v>243.76</v>
      </c>
      <c r="G144" s="7">
        <v>1706</v>
      </c>
      <c r="H144" s="7">
        <v>188.8</v>
      </c>
      <c r="I144" s="8">
        <v>678.2</v>
      </c>
      <c r="J144" s="7">
        <v>426.4</v>
      </c>
      <c r="K144" s="8">
        <v>1040.48</v>
      </c>
      <c r="L144" s="17">
        <v>7.6399999999999996E-2</v>
      </c>
    </row>
    <row r="145" spans="1:12" x14ac:dyDescent="0.25">
      <c r="A145" s="6">
        <v>45070</v>
      </c>
      <c r="B145" s="7">
        <v>39.51</v>
      </c>
      <c r="C145" s="7">
        <v>162.96</v>
      </c>
      <c r="D145" s="7">
        <v>306.2</v>
      </c>
      <c r="E145" s="7">
        <v>436</v>
      </c>
      <c r="F145" s="8">
        <v>246.06</v>
      </c>
      <c r="G145" s="7">
        <v>1729</v>
      </c>
      <c r="H145" s="7">
        <v>188.2</v>
      </c>
      <c r="I145" s="8">
        <v>681.1</v>
      </c>
      <c r="J145" s="7">
        <v>429.4</v>
      </c>
      <c r="K145" s="8">
        <v>1043.95</v>
      </c>
      <c r="L145" s="17">
        <v>7.7100000000000002E-2</v>
      </c>
    </row>
    <row r="146" spans="1:12" x14ac:dyDescent="0.25">
      <c r="A146" s="6">
        <v>45069</v>
      </c>
      <c r="B146" s="7">
        <v>39.090000000000003</v>
      </c>
      <c r="C146" s="7">
        <v>166.59</v>
      </c>
      <c r="D146" s="7">
        <v>306.85000000000002</v>
      </c>
      <c r="E146" s="7">
        <v>424.8</v>
      </c>
      <c r="F146" s="8">
        <v>236.43</v>
      </c>
      <c r="G146" s="7">
        <v>1655.5</v>
      </c>
      <c r="H146" s="7">
        <v>192.3</v>
      </c>
      <c r="I146" s="8">
        <v>679.6</v>
      </c>
      <c r="J146" s="7">
        <v>427.3</v>
      </c>
      <c r="K146" s="8">
        <v>1038</v>
      </c>
      <c r="L146" s="17">
        <v>7.6399999999999996E-2</v>
      </c>
    </row>
    <row r="147" spans="1:12" x14ac:dyDescent="0.25">
      <c r="A147" s="6">
        <v>45068</v>
      </c>
      <c r="B147" s="7">
        <v>39.35</v>
      </c>
      <c r="C147" s="7">
        <v>172.47</v>
      </c>
      <c r="D147" s="7">
        <v>305.3</v>
      </c>
      <c r="E147" s="7">
        <v>424.5</v>
      </c>
      <c r="F147" s="8">
        <v>231</v>
      </c>
      <c r="G147" s="7">
        <v>1665</v>
      </c>
      <c r="H147" s="7">
        <v>193.4</v>
      </c>
      <c r="I147" s="8">
        <v>691</v>
      </c>
      <c r="J147" s="7">
        <v>416.5</v>
      </c>
      <c r="K147" s="8">
        <v>1035.8</v>
      </c>
      <c r="L147" s="17">
        <v>7.5700000000000003E-2</v>
      </c>
    </row>
    <row r="148" spans="1:12" x14ac:dyDescent="0.25">
      <c r="A148" s="6">
        <v>45065</v>
      </c>
      <c r="B148" s="7">
        <v>38.880000000000003</v>
      </c>
      <c r="C148" s="7">
        <v>174.43</v>
      </c>
      <c r="D148" s="7">
        <v>308</v>
      </c>
      <c r="E148" s="7">
        <v>413.65</v>
      </c>
      <c r="F148" s="8">
        <v>231.27</v>
      </c>
      <c r="G148" s="7">
        <v>1679</v>
      </c>
      <c r="H148" s="7">
        <v>190.1</v>
      </c>
      <c r="I148" s="8">
        <v>689</v>
      </c>
      <c r="J148" s="7">
        <v>410.3</v>
      </c>
      <c r="K148" s="8">
        <v>1036.5999999999999</v>
      </c>
      <c r="L148" s="17">
        <v>7.6300000000000007E-2</v>
      </c>
    </row>
    <row r="149" spans="1:12" x14ac:dyDescent="0.25">
      <c r="A149" s="6">
        <v>45064</v>
      </c>
      <c r="B149" s="7">
        <v>38.549999999999997</v>
      </c>
      <c r="C149" s="7">
        <v>175.26</v>
      </c>
      <c r="D149" s="7">
        <v>313.55</v>
      </c>
      <c r="E149" s="7">
        <v>414.1</v>
      </c>
      <c r="F149" s="8">
        <v>231.7</v>
      </c>
      <c r="G149" s="7">
        <v>1680</v>
      </c>
      <c r="H149" s="7">
        <v>193.9</v>
      </c>
      <c r="I149" s="8">
        <v>695.9</v>
      </c>
      <c r="J149" s="7">
        <v>411.7</v>
      </c>
      <c r="K149" s="8">
        <v>1033.3599999999999</v>
      </c>
      <c r="L149" s="17">
        <v>7.6700000000000004E-2</v>
      </c>
    </row>
    <row r="150" spans="1:12" x14ac:dyDescent="0.25">
      <c r="A150" s="6">
        <v>45063</v>
      </c>
      <c r="B150" s="7">
        <v>38.97</v>
      </c>
      <c r="C150" s="7">
        <v>176.3</v>
      </c>
      <c r="D150" s="7">
        <v>293.10000000000002</v>
      </c>
      <c r="E150" s="7">
        <v>414.8</v>
      </c>
      <c r="F150" s="8">
        <v>230.55</v>
      </c>
      <c r="G150" s="7">
        <v>1469</v>
      </c>
      <c r="H150" s="7">
        <v>194.3</v>
      </c>
      <c r="I150" s="8">
        <v>680.9</v>
      </c>
      <c r="J150" s="7">
        <v>405.4</v>
      </c>
      <c r="K150" s="8">
        <v>1039.58</v>
      </c>
      <c r="L150" s="17">
        <v>7.7200000000000005E-2</v>
      </c>
    </row>
    <row r="151" spans="1:12" x14ac:dyDescent="0.25">
      <c r="A151" s="6">
        <v>45062</v>
      </c>
      <c r="B151" s="7">
        <v>38.799999999999997</v>
      </c>
      <c r="C151" s="7">
        <v>177.05</v>
      </c>
      <c r="D151" s="7">
        <v>293.8</v>
      </c>
      <c r="E151" s="7">
        <v>410.75</v>
      </c>
      <c r="F151" s="8">
        <v>230.62</v>
      </c>
      <c r="G151" s="7">
        <v>1470</v>
      </c>
      <c r="H151" s="7">
        <v>191.7</v>
      </c>
      <c r="I151" s="8">
        <v>676.9</v>
      </c>
      <c r="J151" s="7">
        <v>406.8</v>
      </c>
      <c r="K151" s="8">
        <v>1030.68</v>
      </c>
      <c r="L151" s="17">
        <v>7.6499999999999999E-2</v>
      </c>
    </row>
    <row r="152" spans="1:12" x14ac:dyDescent="0.25">
      <c r="A152" s="6">
        <v>45061</v>
      </c>
      <c r="B152" s="7">
        <v>39.17</v>
      </c>
      <c r="C152" s="7">
        <v>179.04</v>
      </c>
      <c r="D152" s="7">
        <v>287.10000000000002</v>
      </c>
      <c r="E152" s="7">
        <v>407.85</v>
      </c>
      <c r="F152" s="8">
        <v>231.7</v>
      </c>
      <c r="G152" s="7">
        <v>1483.5</v>
      </c>
      <c r="H152" s="7">
        <v>193.4</v>
      </c>
      <c r="I152" s="8">
        <v>682</v>
      </c>
      <c r="J152" s="7">
        <v>406</v>
      </c>
      <c r="K152" s="8">
        <v>1037.1300000000001</v>
      </c>
      <c r="L152" s="17">
        <v>7.6100000000000001E-2</v>
      </c>
    </row>
    <row r="153" spans="1:12" x14ac:dyDescent="0.25">
      <c r="A153" s="6">
        <v>45058</v>
      </c>
      <c r="B153" s="7">
        <v>38.24</v>
      </c>
      <c r="C153" s="7">
        <v>173.95</v>
      </c>
      <c r="D153" s="7">
        <v>276.39999999999998</v>
      </c>
      <c r="E153" s="7">
        <v>398.95</v>
      </c>
      <c r="F153" s="8">
        <v>229.29</v>
      </c>
      <c r="G153" s="7">
        <v>1470</v>
      </c>
      <c r="H153" s="7">
        <v>186.8</v>
      </c>
      <c r="I153" s="8">
        <v>666.7</v>
      </c>
      <c r="J153" s="7">
        <v>400.7</v>
      </c>
      <c r="K153" s="8">
        <v>1038.32</v>
      </c>
      <c r="L153" s="17">
        <v>7.6200000000000004E-2</v>
      </c>
    </row>
    <row r="154" spans="1:12" x14ac:dyDescent="0.25">
      <c r="A154" s="6">
        <v>45057</v>
      </c>
      <c r="B154" s="7">
        <v>37.6</v>
      </c>
      <c r="C154" s="7">
        <v>174.13</v>
      </c>
      <c r="D154" s="7">
        <v>272.5</v>
      </c>
      <c r="E154" s="7">
        <v>391.65</v>
      </c>
      <c r="F154" s="8">
        <v>229.32</v>
      </c>
      <c r="G154" s="7">
        <v>1423.5</v>
      </c>
      <c r="H154" s="7">
        <v>185.4</v>
      </c>
      <c r="I154" s="8">
        <v>671.9</v>
      </c>
      <c r="J154" s="7">
        <v>398.7</v>
      </c>
      <c r="K154" s="8">
        <v>1064.56</v>
      </c>
      <c r="L154" s="17">
        <v>7.5399999999999995E-2</v>
      </c>
    </row>
    <row r="155" spans="1:12" x14ac:dyDescent="0.25">
      <c r="A155" s="6">
        <v>45056</v>
      </c>
      <c r="B155" s="7">
        <v>38.26</v>
      </c>
      <c r="C155" s="7">
        <v>175.53</v>
      </c>
      <c r="D155" s="7">
        <v>272.64999999999998</v>
      </c>
      <c r="E155" s="7">
        <v>392.1</v>
      </c>
      <c r="F155" s="8">
        <v>227.06</v>
      </c>
      <c r="G155" s="7">
        <v>1397</v>
      </c>
      <c r="H155" s="7">
        <v>189.5</v>
      </c>
      <c r="I155" s="8">
        <v>659.4</v>
      </c>
      <c r="J155" s="7">
        <v>402.4</v>
      </c>
      <c r="K155" s="8">
        <v>1052.44</v>
      </c>
      <c r="L155" s="17">
        <v>7.5899999999999995E-2</v>
      </c>
    </row>
    <row r="156" spans="1:12" x14ac:dyDescent="0.25">
      <c r="A156" s="6">
        <v>45054</v>
      </c>
      <c r="B156" s="7">
        <v>36.15</v>
      </c>
      <c r="C156" s="7">
        <v>170.84</v>
      </c>
      <c r="D156" s="7">
        <v>263.60000000000002</v>
      </c>
      <c r="E156" s="7">
        <v>381.1</v>
      </c>
      <c r="F156" s="8">
        <v>238.27</v>
      </c>
      <c r="G156" s="7">
        <v>1345.5</v>
      </c>
      <c r="H156" s="7">
        <v>182.9</v>
      </c>
      <c r="I156" s="8">
        <v>641.5</v>
      </c>
      <c r="J156" s="7">
        <v>391.9</v>
      </c>
      <c r="K156" s="8">
        <v>1019.29</v>
      </c>
      <c r="L156" s="17">
        <v>7.5300000000000006E-2</v>
      </c>
    </row>
    <row r="157" spans="1:12" x14ac:dyDescent="0.25">
      <c r="A157" s="6">
        <v>45051</v>
      </c>
      <c r="B157" s="7">
        <v>37.119999999999997</v>
      </c>
      <c r="C157" s="7">
        <v>172.09</v>
      </c>
      <c r="D157" s="7">
        <v>266.10000000000002</v>
      </c>
      <c r="E157" s="7">
        <v>378.65</v>
      </c>
      <c r="F157" s="8">
        <v>237.7</v>
      </c>
      <c r="G157" s="7">
        <v>1357</v>
      </c>
      <c r="H157" s="7">
        <v>185.2</v>
      </c>
      <c r="I157" s="8">
        <v>645.4</v>
      </c>
      <c r="J157" s="7">
        <v>383</v>
      </c>
      <c r="K157" s="8">
        <v>1033.68</v>
      </c>
      <c r="L157" s="17">
        <v>7.3999999999999996E-2</v>
      </c>
    </row>
    <row r="158" spans="1:12" x14ac:dyDescent="0.25">
      <c r="A158" s="6">
        <v>45050</v>
      </c>
      <c r="B158" s="7">
        <v>37.65</v>
      </c>
      <c r="C158" s="7">
        <v>173.66</v>
      </c>
      <c r="D158" s="7">
        <v>268.8</v>
      </c>
      <c r="E158" s="7">
        <v>379.95</v>
      </c>
      <c r="F158" s="8">
        <v>238.89</v>
      </c>
      <c r="G158" s="7">
        <v>1311.5</v>
      </c>
      <c r="H158" s="7">
        <v>188.2</v>
      </c>
      <c r="I158" s="8">
        <v>664.2</v>
      </c>
      <c r="J158" s="7">
        <v>388</v>
      </c>
      <c r="K158" s="8">
        <v>1018.72</v>
      </c>
      <c r="L158" s="17">
        <v>7.4999999999999997E-2</v>
      </c>
    </row>
    <row r="159" spans="1:12" x14ac:dyDescent="0.25">
      <c r="A159" s="6">
        <v>45049</v>
      </c>
      <c r="B159" s="7">
        <v>38.020000000000003</v>
      </c>
      <c r="C159" s="7">
        <v>172.87</v>
      </c>
      <c r="D159" s="7">
        <v>265.05</v>
      </c>
      <c r="E159" s="7">
        <v>378</v>
      </c>
      <c r="F159" s="8">
        <v>235.77</v>
      </c>
      <c r="G159" s="7">
        <v>1295</v>
      </c>
      <c r="H159" s="7">
        <v>182.8</v>
      </c>
      <c r="I159" s="8">
        <v>657.5</v>
      </c>
      <c r="J159" s="7">
        <v>381.8</v>
      </c>
      <c r="K159" s="8">
        <v>1008.49</v>
      </c>
      <c r="L159" s="17">
        <v>7.4999999999999997E-2</v>
      </c>
    </row>
    <row r="160" spans="1:12" x14ac:dyDescent="0.25">
      <c r="A160" s="6">
        <v>45048</v>
      </c>
      <c r="B160" s="7">
        <v>39.590000000000003</v>
      </c>
      <c r="C160" s="7">
        <v>177.97</v>
      </c>
      <c r="D160" s="7">
        <v>270.7</v>
      </c>
      <c r="E160" s="7">
        <v>390</v>
      </c>
      <c r="F160" s="8">
        <v>242.62</v>
      </c>
      <c r="G160" s="7">
        <v>1369</v>
      </c>
      <c r="H160" s="7">
        <v>190.7</v>
      </c>
      <c r="I160" s="8">
        <v>667.8</v>
      </c>
      <c r="J160" s="7">
        <v>397.1</v>
      </c>
      <c r="K160" s="8">
        <v>1019.67</v>
      </c>
      <c r="L160" s="17">
        <v>7.46E-2</v>
      </c>
    </row>
    <row r="161" spans="1:12" x14ac:dyDescent="0.25">
      <c r="A161" s="6">
        <v>45044</v>
      </c>
      <c r="B161" s="7">
        <v>40.24</v>
      </c>
      <c r="C161" s="7">
        <v>181.13</v>
      </c>
      <c r="D161" s="7">
        <v>272.14999999999998</v>
      </c>
      <c r="E161" s="7">
        <v>393.8</v>
      </c>
      <c r="F161" s="8">
        <v>240.38</v>
      </c>
      <c r="G161" s="7">
        <v>1405</v>
      </c>
      <c r="H161" s="7">
        <v>201</v>
      </c>
      <c r="I161" s="8">
        <v>688.9</v>
      </c>
      <c r="J161" s="7">
        <v>404</v>
      </c>
      <c r="K161" s="8">
        <v>1033.57</v>
      </c>
      <c r="L161" s="17">
        <v>7.4399999999999994E-2</v>
      </c>
    </row>
    <row r="162" spans="1:12" x14ac:dyDescent="0.25">
      <c r="A162" s="6">
        <v>45043</v>
      </c>
      <c r="B162" s="7">
        <v>40.049999999999997</v>
      </c>
      <c r="C162" s="7">
        <v>183.95</v>
      </c>
      <c r="D162" s="7">
        <v>273.64999999999998</v>
      </c>
      <c r="E162" s="7">
        <v>398.25</v>
      </c>
      <c r="F162" s="8">
        <v>240.38</v>
      </c>
      <c r="G162" s="7">
        <v>1394</v>
      </c>
      <c r="H162" s="7">
        <v>205.1</v>
      </c>
      <c r="I162" s="8">
        <v>693.4</v>
      </c>
      <c r="J162" s="7">
        <v>411.8</v>
      </c>
      <c r="K162" s="8">
        <v>1024.44</v>
      </c>
      <c r="L162" s="17">
        <v>7.3499999999999996E-2</v>
      </c>
    </row>
    <row r="163" spans="1:12" x14ac:dyDescent="0.25">
      <c r="A163" s="6">
        <v>45042</v>
      </c>
      <c r="B163" s="7">
        <v>39.25</v>
      </c>
      <c r="C163" s="7">
        <v>178.38</v>
      </c>
      <c r="D163" s="7">
        <v>272.89999999999998</v>
      </c>
      <c r="E163" s="7">
        <v>395.75</v>
      </c>
      <c r="F163" s="8">
        <v>235.21</v>
      </c>
      <c r="G163" s="7">
        <v>1373</v>
      </c>
      <c r="H163" s="7">
        <v>207.4</v>
      </c>
      <c r="I163" s="8">
        <v>702.7</v>
      </c>
      <c r="J163" s="7">
        <v>407.4</v>
      </c>
      <c r="K163" s="8">
        <v>1011.06</v>
      </c>
      <c r="L163" s="17">
        <v>7.46E-2</v>
      </c>
    </row>
    <row r="164" spans="1:12" x14ac:dyDescent="0.25">
      <c r="A164" s="6">
        <v>45041</v>
      </c>
      <c r="B164" s="7">
        <v>38.020000000000003</v>
      </c>
      <c r="C164" s="7">
        <v>178.93</v>
      </c>
      <c r="D164" s="7">
        <v>271.3</v>
      </c>
      <c r="E164" s="7">
        <v>396.45</v>
      </c>
      <c r="F164" s="8">
        <v>235.3</v>
      </c>
      <c r="G164" s="7">
        <v>1337</v>
      </c>
      <c r="H164" s="7">
        <v>205.5</v>
      </c>
      <c r="I164" s="8">
        <v>713.4</v>
      </c>
      <c r="J164" s="7">
        <v>408.8</v>
      </c>
      <c r="K164" s="8">
        <v>1013.87</v>
      </c>
      <c r="L164" s="17">
        <v>7.3599999999999999E-2</v>
      </c>
    </row>
    <row r="165" spans="1:12" x14ac:dyDescent="0.25">
      <c r="A165" s="6">
        <v>45040</v>
      </c>
      <c r="B165" s="7">
        <v>38.9</v>
      </c>
      <c r="C165" s="7">
        <v>181.56</v>
      </c>
      <c r="D165" s="7">
        <v>269.25</v>
      </c>
      <c r="E165" s="7">
        <v>400.4</v>
      </c>
      <c r="F165" s="8">
        <v>235.1</v>
      </c>
      <c r="G165" s="7">
        <v>1315.5</v>
      </c>
      <c r="H165" s="7">
        <v>205.9</v>
      </c>
      <c r="I165" s="8">
        <v>677.9</v>
      </c>
      <c r="J165" s="7">
        <v>411.7</v>
      </c>
      <c r="K165" s="8">
        <v>1020.88</v>
      </c>
      <c r="L165" s="17">
        <v>7.4099999999999999E-2</v>
      </c>
    </row>
    <row r="166" spans="1:12" x14ac:dyDescent="0.25">
      <c r="A166" s="6">
        <v>45037</v>
      </c>
      <c r="B166" s="7">
        <v>38.97</v>
      </c>
      <c r="C166" s="7">
        <v>181.72</v>
      </c>
      <c r="D166" s="7">
        <v>266.39999999999998</v>
      </c>
      <c r="E166" s="7">
        <v>398.75</v>
      </c>
      <c r="F166" s="8">
        <v>235.17</v>
      </c>
      <c r="G166" s="7">
        <v>1323</v>
      </c>
      <c r="H166" s="7">
        <v>194.2</v>
      </c>
      <c r="I166" s="8">
        <v>659.3</v>
      </c>
      <c r="J166" s="7">
        <v>406.3</v>
      </c>
      <c r="K166" s="8">
        <v>1019.2</v>
      </c>
      <c r="L166" s="17">
        <v>7.3400000000000007E-2</v>
      </c>
    </row>
    <row r="167" spans="1:12" x14ac:dyDescent="0.25">
      <c r="A167" s="6">
        <v>45036</v>
      </c>
      <c r="B167" s="7">
        <v>39.21</v>
      </c>
      <c r="C167" s="7">
        <v>181.74</v>
      </c>
      <c r="D167" s="7">
        <v>268.35000000000002</v>
      </c>
      <c r="E167" s="7">
        <v>396.5</v>
      </c>
      <c r="F167" s="8">
        <v>236.28</v>
      </c>
      <c r="G167" s="7">
        <v>1296</v>
      </c>
      <c r="H167" s="7">
        <v>194.4</v>
      </c>
      <c r="I167" s="8">
        <v>659.3</v>
      </c>
      <c r="J167" s="7">
        <v>407.3</v>
      </c>
      <c r="K167" s="8">
        <v>1018.6</v>
      </c>
      <c r="L167" s="17">
        <v>7.3400000000000007E-2</v>
      </c>
    </row>
    <row r="168" spans="1:12" x14ac:dyDescent="0.25">
      <c r="A168" s="6">
        <v>45035</v>
      </c>
      <c r="B168" s="7">
        <v>37.450000000000003</v>
      </c>
      <c r="C168" s="7">
        <v>182.01</v>
      </c>
      <c r="D168" s="7">
        <v>266.7</v>
      </c>
      <c r="E168" s="7">
        <v>396.1</v>
      </c>
      <c r="F168" s="8">
        <v>232.95</v>
      </c>
      <c r="G168" s="7">
        <v>1258</v>
      </c>
      <c r="H168" s="7">
        <v>193.5</v>
      </c>
      <c r="I168" s="8">
        <v>658.7</v>
      </c>
      <c r="J168" s="7">
        <v>396.4</v>
      </c>
      <c r="K168" s="8">
        <v>1004.59</v>
      </c>
      <c r="L168" s="17">
        <v>7.4300000000000005E-2</v>
      </c>
    </row>
    <row r="169" spans="1:12" x14ac:dyDescent="0.25">
      <c r="A169" s="6">
        <v>45034</v>
      </c>
      <c r="B169" s="7">
        <v>36.36</v>
      </c>
      <c r="C169" s="7">
        <v>184.39</v>
      </c>
      <c r="D169" s="7">
        <v>265.39999999999998</v>
      </c>
      <c r="E169" s="7">
        <v>397</v>
      </c>
      <c r="F169" s="8">
        <v>232.66</v>
      </c>
      <c r="G169" s="7">
        <v>1214.5</v>
      </c>
      <c r="H169" s="7">
        <v>193.8</v>
      </c>
      <c r="I169" s="8">
        <v>660.4</v>
      </c>
      <c r="J169" s="7">
        <v>400.2</v>
      </c>
      <c r="K169" s="8">
        <v>1010.87</v>
      </c>
      <c r="L169" s="17">
        <v>7.4099999999999999E-2</v>
      </c>
    </row>
    <row r="170" spans="1:12" x14ac:dyDescent="0.25">
      <c r="A170" s="6">
        <v>45033</v>
      </c>
      <c r="B170" s="7">
        <v>36.26</v>
      </c>
      <c r="C170" s="7">
        <v>181.99</v>
      </c>
      <c r="D170" s="7">
        <v>261</v>
      </c>
      <c r="E170" s="7">
        <v>395.85</v>
      </c>
      <c r="F170" s="8">
        <v>228.1</v>
      </c>
      <c r="G170" s="7">
        <v>1207.5</v>
      </c>
      <c r="H170" s="7">
        <v>194</v>
      </c>
      <c r="I170" s="8">
        <v>657.9</v>
      </c>
      <c r="J170" s="7">
        <v>399.3</v>
      </c>
      <c r="K170" s="8">
        <v>1004.62</v>
      </c>
      <c r="L170" s="17">
        <v>7.4399999999999994E-2</v>
      </c>
    </row>
    <row r="171" spans="1:12" x14ac:dyDescent="0.25">
      <c r="A171" s="6">
        <v>45030</v>
      </c>
      <c r="B171" s="7">
        <v>34.65</v>
      </c>
      <c r="C171" s="7">
        <v>179.5</v>
      </c>
      <c r="D171" s="7">
        <v>260.05</v>
      </c>
      <c r="E171" s="7">
        <v>392.4</v>
      </c>
      <c r="F171" s="8">
        <v>221.87</v>
      </c>
      <c r="G171" s="7">
        <v>1191.5</v>
      </c>
      <c r="H171" s="7">
        <v>192</v>
      </c>
      <c r="I171" s="8">
        <v>654.6</v>
      </c>
      <c r="J171" s="7">
        <v>394.4</v>
      </c>
      <c r="K171" s="8">
        <v>982.94</v>
      </c>
      <c r="L171" s="17">
        <v>7.4899999999999994E-2</v>
      </c>
    </row>
    <row r="172" spans="1:12" x14ac:dyDescent="0.25">
      <c r="A172" s="6">
        <v>45029</v>
      </c>
      <c r="B172" s="7">
        <v>34.299999999999997</v>
      </c>
      <c r="C172" s="7">
        <v>178.73</v>
      </c>
      <c r="D172" s="7">
        <v>260.39999999999998</v>
      </c>
      <c r="E172" s="7">
        <v>390.1</v>
      </c>
      <c r="F172" s="8">
        <v>219.85</v>
      </c>
      <c r="G172" s="7">
        <v>1184.5</v>
      </c>
      <c r="H172" s="7">
        <v>192.1</v>
      </c>
      <c r="I172" s="8">
        <v>654.79999999999995</v>
      </c>
      <c r="J172" s="7">
        <v>394.5</v>
      </c>
      <c r="K172" s="8">
        <v>982.94</v>
      </c>
      <c r="L172" s="17">
        <v>7.4800000000000005E-2</v>
      </c>
    </row>
    <row r="173" spans="1:12" x14ac:dyDescent="0.25">
      <c r="A173" s="6">
        <v>45028</v>
      </c>
      <c r="B173" s="7">
        <v>34.49</v>
      </c>
      <c r="C173" s="7">
        <v>178.75</v>
      </c>
      <c r="D173" s="7">
        <v>261.25</v>
      </c>
      <c r="E173" s="7">
        <v>390.9</v>
      </c>
      <c r="F173" s="8">
        <v>219.22</v>
      </c>
      <c r="G173" s="7">
        <v>1182.5</v>
      </c>
      <c r="H173" s="7">
        <v>193.9</v>
      </c>
      <c r="I173" s="8">
        <v>662.6</v>
      </c>
      <c r="J173" s="7">
        <v>395.4</v>
      </c>
      <c r="K173" s="8">
        <v>975.46</v>
      </c>
      <c r="L173" s="17">
        <v>7.51E-2</v>
      </c>
    </row>
    <row r="174" spans="1:12" x14ac:dyDescent="0.25">
      <c r="A174" s="6">
        <v>45027</v>
      </c>
      <c r="B174" s="7">
        <v>34.08</v>
      </c>
      <c r="C174" s="7">
        <v>177.18</v>
      </c>
      <c r="D174" s="7">
        <v>257</v>
      </c>
      <c r="E174" s="7">
        <v>388.35</v>
      </c>
      <c r="F174" s="8">
        <v>218.6</v>
      </c>
      <c r="G174" s="7">
        <v>1188</v>
      </c>
      <c r="H174" s="7">
        <v>192.4</v>
      </c>
      <c r="I174" s="8">
        <v>664</v>
      </c>
      <c r="J174" s="7">
        <v>393.8</v>
      </c>
      <c r="K174" s="8">
        <v>973.39</v>
      </c>
      <c r="L174" s="17">
        <v>7.5200000000000003E-2</v>
      </c>
    </row>
    <row r="175" spans="1:12" x14ac:dyDescent="0.25">
      <c r="A175" s="6">
        <v>45026</v>
      </c>
      <c r="B175" s="7">
        <v>34.840000000000003</v>
      </c>
      <c r="C175" s="7">
        <v>174.54</v>
      </c>
      <c r="D175" s="7">
        <v>259.25</v>
      </c>
      <c r="E175" s="7">
        <v>393.5</v>
      </c>
      <c r="F175" s="8">
        <v>222.21</v>
      </c>
      <c r="G175" s="7">
        <v>1202.5</v>
      </c>
      <c r="H175" s="7">
        <v>193.5</v>
      </c>
      <c r="I175" s="8">
        <v>665.1</v>
      </c>
      <c r="J175" s="7">
        <v>402.8</v>
      </c>
      <c r="K175" s="8">
        <v>983.86</v>
      </c>
      <c r="L175" s="17">
        <v>7.6799999999999993E-2</v>
      </c>
    </row>
    <row r="176" spans="1:12" x14ac:dyDescent="0.25">
      <c r="A176" s="6">
        <v>45023</v>
      </c>
      <c r="B176" s="7">
        <v>32.79</v>
      </c>
      <c r="C176" s="7">
        <v>173.09</v>
      </c>
      <c r="D176" s="7">
        <v>257.5</v>
      </c>
      <c r="E176" s="7">
        <v>391.7</v>
      </c>
      <c r="F176" s="8">
        <v>216.27</v>
      </c>
      <c r="G176" s="7">
        <v>1201.5</v>
      </c>
      <c r="H176" s="7">
        <v>188.7</v>
      </c>
      <c r="I176" s="8">
        <v>659.1</v>
      </c>
      <c r="J176" s="7">
        <v>396.2</v>
      </c>
      <c r="K176" s="8">
        <v>974.52</v>
      </c>
      <c r="L176" s="17">
        <v>7.7299999999999994E-2</v>
      </c>
    </row>
    <row r="177" spans="1:12" x14ac:dyDescent="0.25">
      <c r="A177" s="6">
        <v>45022</v>
      </c>
      <c r="B177" s="7">
        <v>32.39</v>
      </c>
      <c r="C177" s="7">
        <v>171.6</v>
      </c>
      <c r="D177" s="7">
        <v>255.75</v>
      </c>
      <c r="E177" s="7">
        <v>389.8</v>
      </c>
      <c r="F177" s="8">
        <v>214.25</v>
      </c>
      <c r="G177" s="7">
        <v>1200.5</v>
      </c>
      <c r="H177" s="7">
        <v>188.6</v>
      </c>
      <c r="I177" s="8">
        <v>656.4</v>
      </c>
      <c r="J177" s="7">
        <v>389.5</v>
      </c>
      <c r="K177" s="8">
        <v>967.11</v>
      </c>
      <c r="L177" s="17">
        <v>7.7200000000000005E-2</v>
      </c>
    </row>
    <row r="178" spans="1:12" x14ac:dyDescent="0.25">
      <c r="A178" s="6">
        <v>45021</v>
      </c>
      <c r="B178" s="7">
        <v>32.270000000000003</v>
      </c>
      <c r="C178" s="7">
        <v>173.86</v>
      </c>
      <c r="D178" s="7">
        <v>254.95</v>
      </c>
      <c r="E178" s="7">
        <v>389.7</v>
      </c>
      <c r="F178" s="8">
        <v>216.15</v>
      </c>
      <c r="G178" s="7">
        <v>1198</v>
      </c>
      <c r="H178" s="7">
        <v>188</v>
      </c>
      <c r="I178" s="8">
        <v>653.5</v>
      </c>
      <c r="J178" s="7">
        <v>387.3</v>
      </c>
      <c r="K178" s="8">
        <v>987.51</v>
      </c>
      <c r="L178" s="17">
        <v>7.7399999999999997E-2</v>
      </c>
    </row>
    <row r="179" spans="1:12" x14ac:dyDescent="0.25">
      <c r="A179" s="6">
        <v>45020</v>
      </c>
      <c r="B179" s="7">
        <v>32.159999999999997</v>
      </c>
      <c r="C179" s="7">
        <v>172.55</v>
      </c>
      <c r="D179" s="7">
        <v>254.75</v>
      </c>
      <c r="E179" s="7">
        <v>390</v>
      </c>
      <c r="F179" s="8">
        <v>214.83</v>
      </c>
      <c r="G179" s="7">
        <v>1200.5</v>
      </c>
      <c r="H179" s="7">
        <v>191.5</v>
      </c>
      <c r="I179" s="8">
        <v>653</v>
      </c>
      <c r="J179" s="7">
        <v>382.7</v>
      </c>
      <c r="K179" s="8">
        <v>983.46</v>
      </c>
      <c r="L179" s="17">
        <v>7.8E-2</v>
      </c>
    </row>
    <row r="180" spans="1:12" x14ac:dyDescent="0.25">
      <c r="A180" s="6">
        <v>45019</v>
      </c>
      <c r="B180" s="7">
        <v>32.03</v>
      </c>
      <c r="C180" s="7">
        <v>170.38</v>
      </c>
      <c r="D180" s="7">
        <v>258</v>
      </c>
      <c r="E180" s="7">
        <v>390.9</v>
      </c>
      <c r="F180" s="8">
        <v>216.09</v>
      </c>
      <c r="G180" s="7">
        <v>1194.5</v>
      </c>
      <c r="H180" s="7">
        <v>190.3</v>
      </c>
      <c r="I180" s="8">
        <v>662.5</v>
      </c>
      <c r="J180" s="7">
        <v>386.8</v>
      </c>
      <c r="K180" s="8">
        <v>988.8</v>
      </c>
      <c r="L180" s="17">
        <v>7.7499999999999999E-2</v>
      </c>
    </row>
    <row r="181" spans="1:12" x14ac:dyDescent="0.25">
      <c r="A181" s="6">
        <v>45016</v>
      </c>
      <c r="B181" s="7">
        <v>31.65</v>
      </c>
      <c r="C181" s="7">
        <v>169.83</v>
      </c>
      <c r="D181" s="7">
        <v>257.85000000000002</v>
      </c>
      <c r="E181" s="7">
        <v>380.9</v>
      </c>
      <c r="F181" s="8">
        <v>216.6</v>
      </c>
      <c r="G181" s="7">
        <v>1163</v>
      </c>
      <c r="H181" s="7">
        <v>191.8</v>
      </c>
      <c r="I181" s="8">
        <v>654.70000000000005</v>
      </c>
      <c r="J181" s="7">
        <v>373.7</v>
      </c>
      <c r="K181" s="8">
        <v>996.76</v>
      </c>
      <c r="L181" s="17">
        <v>7.8299999999999995E-2</v>
      </c>
    </row>
    <row r="182" spans="1:12" x14ac:dyDescent="0.25">
      <c r="A182" s="6">
        <v>45015</v>
      </c>
      <c r="B182" s="7">
        <v>32.74</v>
      </c>
      <c r="C182" s="7">
        <v>171.71</v>
      </c>
      <c r="D182" s="7">
        <v>259.3</v>
      </c>
      <c r="E182" s="7">
        <v>386.15</v>
      </c>
      <c r="F182" s="8">
        <v>216.87</v>
      </c>
      <c r="G182" s="7">
        <v>1157.5</v>
      </c>
      <c r="H182" s="7">
        <v>195.3</v>
      </c>
      <c r="I182" s="8">
        <v>664.1</v>
      </c>
      <c r="J182" s="7">
        <v>375.2</v>
      </c>
      <c r="K182" s="8">
        <v>1006.43</v>
      </c>
      <c r="L182" s="17">
        <v>7.8100000000000003E-2</v>
      </c>
    </row>
    <row r="183" spans="1:12" x14ac:dyDescent="0.25">
      <c r="A183" s="6">
        <v>45014</v>
      </c>
      <c r="B183" s="7">
        <v>32.270000000000003</v>
      </c>
      <c r="C183" s="7">
        <v>170.95</v>
      </c>
      <c r="D183" s="7">
        <v>257.95</v>
      </c>
      <c r="E183" s="7">
        <v>385.45</v>
      </c>
      <c r="F183" s="8">
        <v>217.99</v>
      </c>
      <c r="G183" s="7">
        <v>1142</v>
      </c>
      <c r="H183" s="7">
        <v>190.6</v>
      </c>
      <c r="I183" s="8">
        <v>659.5</v>
      </c>
      <c r="J183" s="7">
        <v>367.8</v>
      </c>
      <c r="K183" s="8">
        <v>1004.56</v>
      </c>
      <c r="L183" s="17">
        <v>7.8600000000000003E-2</v>
      </c>
    </row>
    <row r="184" spans="1:12" x14ac:dyDescent="0.25">
      <c r="A184" s="6">
        <v>45013</v>
      </c>
      <c r="B184" s="7">
        <v>32.36</v>
      </c>
      <c r="C184" s="7">
        <v>171.07</v>
      </c>
      <c r="D184" s="7">
        <v>257.60000000000002</v>
      </c>
      <c r="E184" s="7">
        <v>381.5</v>
      </c>
      <c r="F184" s="8">
        <v>214.03</v>
      </c>
      <c r="G184" s="7">
        <v>1128.5</v>
      </c>
      <c r="H184" s="7">
        <v>188</v>
      </c>
      <c r="I184" s="8">
        <v>649.1</v>
      </c>
      <c r="J184" s="7">
        <v>367.1</v>
      </c>
      <c r="K184" s="8">
        <v>999.83</v>
      </c>
      <c r="L184" s="17">
        <v>7.8700000000000006E-2</v>
      </c>
    </row>
    <row r="185" spans="1:12" x14ac:dyDescent="0.25">
      <c r="A185" s="6">
        <v>45012</v>
      </c>
      <c r="B185" s="7">
        <v>32.92</v>
      </c>
      <c r="C185" s="7">
        <v>172.33</v>
      </c>
      <c r="D185" s="7">
        <v>256.85000000000002</v>
      </c>
      <c r="E185" s="7">
        <v>383.25</v>
      </c>
      <c r="F185" s="8">
        <v>211.84</v>
      </c>
      <c r="G185" s="7">
        <v>1120</v>
      </c>
      <c r="H185" s="7">
        <v>189.4</v>
      </c>
      <c r="I185" s="8">
        <v>656.9</v>
      </c>
      <c r="J185" s="7">
        <v>363.4</v>
      </c>
      <c r="K185" s="8">
        <v>1001.94</v>
      </c>
      <c r="L185" s="17">
        <v>7.9000000000000001E-2</v>
      </c>
    </row>
    <row r="186" spans="1:12" x14ac:dyDescent="0.25">
      <c r="A186" s="6">
        <v>45009</v>
      </c>
      <c r="B186" s="7">
        <v>29.61</v>
      </c>
      <c r="C186" s="7">
        <v>169.03</v>
      </c>
      <c r="D186" s="7">
        <v>252.75</v>
      </c>
      <c r="E186" s="7">
        <v>377.25</v>
      </c>
      <c r="F186" s="8">
        <v>203.57</v>
      </c>
      <c r="G186" s="7">
        <v>1104.5</v>
      </c>
      <c r="H186" s="7">
        <v>178.3</v>
      </c>
      <c r="I186" s="8">
        <v>642.29999999999995</v>
      </c>
      <c r="J186" s="7">
        <v>349.3</v>
      </c>
      <c r="K186" s="8">
        <v>977.75</v>
      </c>
      <c r="L186" s="17">
        <v>7.9299999999999995E-2</v>
      </c>
    </row>
    <row r="187" spans="1:12" x14ac:dyDescent="0.25">
      <c r="A187" s="6">
        <v>45008</v>
      </c>
      <c r="B187" s="7">
        <v>29.3</v>
      </c>
      <c r="C187" s="7">
        <v>168.84</v>
      </c>
      <c r="D187" s="7">
        <v>254.4</v>
      </c>
      <c r="E187" s="7">
        <v>374.45</v>
      </c>
      <c r="F187" s="8">
        <v>202.58</v>
      </c>
      <c r="G187" s="7">
        <v>1082.5</v>
      </c>
      <c r="H187" s="7">
        <v>178.8</v>
      </c>
      <c r="I187" s="8">
        <v>647</v>
      </c>
      <c r="J187" s="7">
        <v>344.6</v>
      </c>
      <c r="K187" s="8">
        <v>989.43</v>
      </c>
      <c r="L187" s="17">
        <v>7.9200000000000007E-2</v>
      </c>
    </row>
    <row r="188" spans="1:12" x14ac:dyDescent="0.25">
      <c r="A188" s="6">
        <v>45007</v>
      </c>
      <c r="B188" s="7">
        <v>28.94</v>
      </c>
      <c r="C188" s="7">
        <v>168.72</v>
      </c>
      <c r="D188" s="7">
        <v>254.4</v>
      </c>
      <c r="E188" s="7">
        <v>375.5</v>
      </c>
      <c r="F188" s="8">
        <v>202.89</v>
      </c>
      <c r="G188" s="7">
        <v>1076</v>
      </c>
      <c r="H188" s="7">
        <v>179.9</v>
      </c>
      <c r="I188" s="8">
        <v>640.20000000000005</v>
      </c>
      <c r="J188" s="7">
        <v>350.4</v>
      </c>
      <c r="K188" s="8">
        <v>980.02</v>
      </c>
      <c r="L188" s="17">
        <v>7.9100000000000004E-2</v>
      </c>
    </row>
    <row r="189" spans="1:12" x14ac:dyDescent="0.25">
      <c r="A189" s="6">
        <v>45006</v>
      </c>
      <c r="B189" s="7">
        <v>29.25</v>
      </c>
      <c r="C189" s="7">
        <v>170.55</v>
      </c>
      <c r="D189" s="7">
        <v>255.25</v>
      </c>
      <c r="E189" s="7">
        <v>371.8</v>
      </c>
      <c r="F189" s="8">
        <v>203.32</v>
      </c>
      <c r="G189" s="7">
        <v>1072</v>
      </c>
      <c r="H189" s="7">
        <v>179.9</v>
      </c>
      <c r="I189" s="8">
        <v>641.79999999999995</v>
      </c>
      <c r="J189" s="7">
        <v>350.8</v>
      </c>
      <c r="K189" s="8">
        <v>983.95</v>
      </c>
      <c r="L189" s="17">
        <v>7.8899999999999998E-2</v>
      </c>
    </row>
    <row r="190" spans="1:12" x14ac:dyDescent="0.25">
      <c r="A190" s="6">
        <v>45005</v>
      </c>
      <c r="B190" s="7">
        <v>29.66</v>
      </c>
      <c r="C190" s="7">
        <v>175.7</v>
      </c>
      <c r="D190" s="7">
        <v>251.8</v>
      </c>
      <c r="E190" s="7">
        <v>377.4</v>
      </c>
      <c r="F190" s="8">
        <v>203.73</v>
      </c>
      <c r="G190" s="7">
        <v>1093.5</v>
      </c>
      <c r="H190" s="7">
        <v>181.8</v>
      </c>
      <c r="I190" s="8">
        <v>630.5</v>
      </c>
      <c r="J190" s="7">
        <v>355</v>
      </c>
      <c r="K190" s="8">
        <v>979.83</v>
      </c>
      <c r="L190" s="17">
        <v>7.9000000000000001E-2</v>
      </c>
    </row>
    <row r="191" spans="1:12" x14ac:dyDescent="0.25">
      <c r="A191" s="6">
        <v>45002</v>
      </c>
      <c r="B191" s="7">
        <v>28.45</v>
      </c>
      <c r="C191" s="7">
        <v>163.29</v>
      </c>
      <c r="D191" s="7">
        <v>248.1</v>
      </c>
      <c r="E191" s="7">
        <v>365.2</v>
      </c>
      <c r="F191" s="8">
        <v>193.59</v>
      </c>
      <c r="G191" s="7">
        <v>1058</v>
      </c>
      <c r="H191" s="7">
        <v>178.9</v>
      </c>
      <c r="I191" s="8">
        <v>626.20000000000005</v>
      </c>
      <c r="J191" s="7">
        <v>347.8</v>
      </c>
      <c r="K191" s="8">
        <v>948.97</v>
      </c>
      <c r="L191" s="17">
        <v>7.7600000000000002E-2</v>
      </c>
    </row>
    <row r="192" spans="1:12" x14ac:dyDescent="0.25">
      <c r="A192" s="6">
        <v>45001</v>
      </c>
      <c r="B192" s="7">
        <v>28.26</v>
      </c>
      <c r="C192" s="7">
        <v>159.71</v>
      </c>
      <c r="D192" s="7">
        <v>247.9</v>
      </c>
      <c r="E192" s="7">
        <v>359.2</v>
      </c>
      <c r="F192" s="8">
        <v>175.45</v>
      </c>
      <c r="G192" s="7">
        <v>1046.5</v>
      </c>
      <c r="H192" s="7">
        <v>179.8</v>
      </c>
      <c r="I192" s="8">
        <v>616.5</v>
      </c>
      <c r="J192" s="7">
        <v>336.3</v>
      </c>
      <c r="K192" s="8">
        <v>927.3</v>
      </c>
      <c r="L192" s="17">
        <v>7.7600000000000002E-2</v>
      </c>
    </row>
    <row r="193" spans="1:12" x14ac:dyDescent="0.25">
      <c r="A193" s="6">
        <v>45000</v>
      </c>
      <c r="B193" s="7">
        <v>28.15</v>
      </c>
      <c r="C193" s="7">
        <v>159.68</v>
      </c>
      <c r="D193" s="7">
        <v>249.95</v>
      </c>
      <c r="E193" s="7">
        <v>357.95</v>
      </c>
      <c r="F193" s="8">
        <v>175.3</v>
      </c>
      <c r="G193" s="7">
        <v>1054</v>
      </c>
      <c r="H193" s="7">
        <v>180.5</v>
      </c>
      <c r="I193" s="8">
        <v>614.6</v>
      </c>
      <c r="J193" s="7">
        <v>337.6</v>
      </c>
      <c r="K193" s="8">
        <v>936.95</v>
      </c>
      <c r="L193" s="17">
        <v>7.7299999999999994E-2</v>
      </c>
    </row>
    <row r="194" spans="1:12" x14ac:dyDescent="0.25">
      <c r="A194" s="6">
        <v>44999</v>
      </c>
      <c r="B194" s="7">
        <v>28.25</v>
      </c>
      <c r="C194" s="7">
        <v>161</v>
      </c>
      <c r="D194" s="7">
        <v>255.9</v>
      </c>
      <c r="E194" s="7">
        <v>364.55</v>
      </c>
      <c r="F194" s="8">
        <v>175.71</v>
      </c>
      <c r="G194" s="7">
        <v>1061</v>
      </c>
      <c r="H194" s="7">
        <v>182.7</v>
      </c>
      <c r="I194" s="8">
        <v>619.70000000000005</v>
      </c>
      <c r="J194" s="7">
        <v>339</v>
      </c>
      <c r="K194" s="8">
        <v>957.88</v>
      </c>
      <c r="L194" s="17">
        <v>7.8100000000000003E-2</v>
      </c>
    </row>
    <row r="195" spans="1:12" x14ac:dyDescent="0.25">
      <c r="A195" s="6">
        <v>44998</v>
      </c>
      <c r="B195" s="7">
        <v>28.08</v>
      </c>
      <c r="C195" s="7">
        <v>159.03</v>
      </c>
      <c r="D195" s="7">
        <v>256.64999999999998</v>
      </c>
      <c r="E195" s="7">
        <v>363.5</v>
      </c>
      <c r="F195" s="8">
        <v>172.15</v>
      </c>
      <c r="G195" s="7">
        <v>1055</v>
      </c>
      <c r="H195" s="7">
        <v>182.9</v>
      </c>
      <c r="I195" s="8">
        <v>618.29999999999995</v>
      </c>
      <c r="J195" s="7">
        <v>334.7</v>
      </c>
      <c r="K195" s="8">
        <v>954</v>
      </c>
      <c r="L195" s="17">
        <v>7.7700000000000005E-2</v>
      </c>
    </row>
    <row r="196" spans="1:12" x14ac:dyDescent="0.25">
      <c r="A196" s="6">
        <v>44995</v>
      </c>
      <c r="B196" s="7">
        <v>28.27</v>
      </c>
      <c r="C196" s="7">
        <v>160.04</v>
      </c>
      <c r="D196" s="7">
        <v>257.7</v>
      </c>
      <c r="E196" s="7">
        <v>365.9</v>
      </c>
      <c r="F196" s="8">
        <v>172.53</v>
      </c>
      <c r="G196" s="7">
        <v>1031</v>
      </c>
      <c r="H196" s="7">
        <v>181.8</v>
      </c>
      <c r="I196" s="8">
        <v>621</v>
      </c>
      <c r="J196" s="7">
        <v>333.3</v>
      </c>
      <c r="K196" s="8">
        <v>942.75</v>
      </c>
      <c r="L196" s="17">
        <v>7.6799999999999993E-2</v>
      </c>
    </row>
    <row r="197" spans="1:12" x14ac:dyDescent="0.25">
      <c r="A197" s="6">
        <v>44994</v>
      </c>
      <c r="B197" s="7">
        <v>28.55</v>
      </c>
      <c r="C197" s="7">
        <v>161.21</v>
      </c>
      <c r="D197" s="7">
        <v>257.14999999999998</v>
      </c>
      <c r="E197" s="7">
        <v>364</v>
      </c>
      <c r="F197" s="8">
        <v>172.55</v>
      </c>
      <c r="G197" s="7">
        <v>1031.5</v>
      </c>
      <c r="H197" s="7">
        <v>182.1</v>
      </c>
      <c r="I197" s="8">
        <v>628</v>
      </c>
      <c r="J197" s="7">
        <v>335.2</v>
      </c>
      <c r="K197" s="8">
        <v>950.93</v>
      </c>
      <c r="L197" s="17">
        <v>7.6499999999999999E-2</v>
      </c>
    </row>
    <row r="198" spans="1:12" x14ac:dyDescent="0.25">
      <c r="A198" s="6">
        <v>44992</v>
      </c>
      <c r="B198" s="7">
        <v>28.45</v>
      </c>
      <c r="C198" s="7">
        <v>162.57</v>
      </c>
      <c r="D198" s="7">
        <v>257.64999999999998</v>
      </c>
      <c r="E198" s="7">
        <v>364.3</v>
      </c>
      <c r="F198" s="8">
        <v>174.01</v>
      </c>
      <c r="G198" s="7">
        <v>993</v>
      </c>
      <c r="H198" s="7">
        <v>184</v>
      </c>
      <c r="I198" s="8">
        <v>624</v>
      </c>
      <c r="J198" s="7">
        <v>336</v>
      </c>
      <c r="K198" s="8">
        <v>951.38</v>
      </c>
      <c r="L198" s="17">
        <v>7.6399999999999996E-2</v>
      </c>
    </row>
    <row r="199" spans="1:12" x14ac:dyDescent="0.25">
      <c r="A199" s="6">
        <v>44991</v>
      </c>
      <c r="B199" s="7">
        <v>28.58</v>
      </c>
      <c r="C199" s="7">
        <v>163.35</v>
      </c>
      <c r="D199" s="7">
        <v>258.39999999999998</v>
      </c>
      <c r="E199" s="7">
        <v>365.35</v>
      </c>
      <c r="F199" s="8">
        <v>171.84</v>
      </c>
      <c r="G199" s="7">
        <v>991</v>
      </c>
      <c r="H199" s="7">
        <v>181.4</v>
      </c>
      <c r="I199" s="8">
        <v>622.1</v>
      </c>
      <c r="J199" s="7">
        <v>337.6</v>
      </c>
      <c r="K199" s="8">
        <v>958.26</v>
      </c>
      <c r="L199" s="17">
        <v>7.6300000000000007E-2</v>
      </c>
    </row>
    <row r="200" spans="1:12" x14ac:dyDescent="0.25">
      <c r="A200" s="6">
        <v>44988</v>
      </c>
      <c r="B200" s="7">
        <v>28.16</v>
      </c>
      <c r="C200" s="7">
        <v>162.27000000000001</v>
      </c>
      <c r="D200" s="7">
        <v>259.64999999999998</v>
      </c>
      <c r="E200" s="7">
        <v>358.8</v>
      </c>
      <c r="F200" s="8">
        <v>171.16</v>
      </c>
      <c r="G200" s="7">
        <v>981</v>
      </c>
      <c r="H200" s="7">
        <v>179.9</v>
      </c>
      <c r="I200" s="8">
        <v>622.4</v>
      </c>
      <c r="J200" s="7">
        <v>334.9</v>
      </c>
      <c r="K200" s="8">
        <v>945.41</v>
      </c>
      <c r="L200" s="17">
        <v>7.5899999999999995E-2</v>
      </c>
    </row>
    <row r="201" spans="1:12" x14ac:dyDescent="0.25">
      <c r="A201" s="6">
        <v>44987</v>
      </c>
      <c r="B201" s="7">
        <v>28</v>
      </c>
      <c r="C201" s="7">
        <v>160.9</v>
      </c>
      <c r="D201" s="7">
        <v>254.55</v>
      </c>
      <c r="E201" s="7">
        <v>355.05</v>
      </c>
      <c r="F201" s="8">
        <v>168.05</v>
      </c>
      <c r="G201" s="7">
        <v>976.5</v>
      </c>
      <c r="H201" s="7">
        <v>179.3</v>
      </c>
      <c r="I201" s="8">
        <v>614.70000000000005</v>
      </c>
      <c r="J201" s="7">
        <v>330.2</v>
      </c>
      <c r="K201" s="8">
        <v>942.61</v>
      </c>
      <c r="L201" s="17">
        <v>7.7200000000000005E-2</v>
      </c>
    </row>
    <row r="202" spans="1:12" x14ac:dyDescent="0.25">
      <c r="A202" s="6">
        <v>44986</v>
      </c>
      <c r="B202" s="7">
        <v>28.35</v>
      </c>
      <c r="C202" s="7">
        <v>164.5</v>
      </c>
      <c r="D202" s="7">
        <v>259.10000000000002</v>
      </c>
      <c r="E202" s="7">
        <v>361.4</v>
      </c>
      <c r="F202" s="8">
        <v>170.53</v>
      </c>
      <c r="G202" s="7">
        <v>994</v>
      </c>
      <c r="H202" s="7">
        <v>182.2</v>
      </c>
      <c r="I202" s="8">
        <v>628.6</v>
      </c>
      <c r="J202" s="7">
        <v>334.8</v>
      </c>
      <c r="K202" s="8">
        <v>955.81</v>
      </c>
      <c r="L202" s="17">
        <v>7.6799999999999993E-2</v>
      </c>
    </row>
    <row r="203" spans="1:12" x14ac:dyDescent="0.25">
      <c r="A203" s="6">
        <v>44985</v>
      </c>
      <c r="B203" s="7">
        <v>28.2</v>
      </c>
      <c r="C203" s="7">
        <v>157.66</v>
      </c>
      <c r="D203" s="7">
        <v>260.14999999999998</v>
      </c>
      <c r="E203" s="7">
        <v>358.4</v>
      </c>
      <c r="F203" s="8">
        <v>169.82</v>
      </c>
      <c r="G203" s="7">
        <v>986.5</v>
      </c>
      <c r="H203" s="7">
        <v>179.1</v>
      </c>
      <c r="I203" s="8">
        <v>622</v>
      </c>
      <c r="J203" s="7">
        <v>328.3</v>
      </c>
      <c r="K203" s="8">
        <v>946.23</v>
      </c>
      <c r="L203" s="17">
        <v>7.7299999999999994E-2</v>
      </c>
    </row>
    <row r="204" spans="1:12" x14ac:dyDescent="0.25">
      <c r="A204" s="6">
        <v>44984</v>
      </c>
      <c r="B204" s="7">
        <v>28.32</v>
      </c>
      <c r="C204" s="7">
        <v>156.34</v>
      </c>
      <c r="D204" s="7">
        <v>254.1</v>
      </c>
      <c r="E204" s="7">
        <v>357.75</v>
      </c>
      <c r="F204" s="8">
        <v>169.95</v>
      </c>
      <c r="G204" s="7">
        <v>975</v>
      </c>
      <c r="H204" s="7">
        <v>179.5</v>
      </c>
      <c r="I204" s="8">
        <v>616.79999999999995</v>
      </c>
      <c r="J204" s="7">
        <v>316.10000000000002</v>
      </c>
      <c r="K204" s="8">
        <v>945.29</v>
      </c>
      <c r="L204" s="17">
        <v>7.7700000000000005E-2</v>
      </c>
    </row>
    <row r="205" spans="1:12" x14ac:dyDescent="0.25">
      <c r="A205" s="6">
        <v>44981</v>
      </c>
      <c r="B205" s="7">
        <v>28.16</v>
      </c>
      <c r="C205" s="7">
        <v>154.22</v>
      </c>
      <c r="D205" s="7">
        <v>251.15</v>
      </c>
      <c r="E205" s="7">
        <v>352.45</v>
      </c>
      <c r="F205" s="8">
        <v>164.3</v>
      </c>
      <c r="G205" s="7">
        <v>974</v>
      </c>
      <c r="H205" s="7">
        <v>175.9</v>
      </c>
      <c r="I205" s="8">
        <v>617.6</v>
      </c>
      <c r="J205" s="7">
        <v>312.60000000000002</v>
      </c>
      <c r="K205" s="8">
        <v>914.16</v>
      </c>
      <c r="L205" s="17">
        <v>7.6200000000000004E-2</v>
      </c>
    </row>
    <row r="206" spans="1:12" x14ac:dyDescent="0.25">
      <c r="A206" s="6">
        <v>44979</v>
      </c>
      <c r="B206" s="7">
        <v>27.97</v>
      </c>
      <c r="C206" s="7">
        <v>155.31</v>
      </c>
      <c r="D206" s="7">
        <v>250.8</v>
      </c>
      <c r="E206" s="7">
        <v>353.75</v>
      </c>
      <c r="F206" s="8">
        <v>163.37</v>
      </c>
      <c r="G206" s="7">
        <v>971</v>
      </c>
      <c r="H206" s="7">
        <v>175.3</v>
      </c>
      <c r="I206" s="8">
        <v>615.29999999999995</v>
      </c>
      <c r="J206" s="7">
        <v>313.39999999999998</v>
      </c>
      <c r="K206" s="8">
        <v>929.43</v>
      </c>
      <c r="L206" s="17">
        <v>7.8100000000000003E-2</v>
      </c>
    </row>
    <row r="207" spans="1:12" x14ac:dyDescent="0.25">
      <c r="A207" s="6">
        <v>44978</v>
      </c>
      <c r="B207" s="7">
        <v>27.78</v>
      </c>
      <c r="C207" s="7">
        <v>154.97</v>
      </c>
      <c r="D207" s="7">
        <v>251</v>
      </c>
      <c r="E207" s="7">
        <v>352.65</v>
      </c>
      <c r="F207" s="8">
        <v>164.15</v>
      </c>
      <c r="G207" s="7">
        <v>966</v>
      </c>
      <c r="H207" s="7">
        <v>175.6</v>
      </c>
      <c r="I207" s="8">
        <v>619.4</v>
      </c>
      <c r="J207" s="7">
        <v>315.8</v>
      </c>
      <c r="K207" s="8">
        <v>928.98</v>
      </c>
      <c r="L207" s="17">
        <v>7.85E-2</v>
      </c>
    </row>
    <row r="208" spans="1:12" x14ac:dyDescent="0.25">
      <c r="A208" s="6">
        <v>44977</v>
      </c>
      <c r="B208" s="7">
        <v>27.4</v>
      </c>
      <c r="C208" s="7">
        <v>153.24</v>
      </c>
      <c r="D208" s="7">
        <v>246.7</v>
      </c>
      <c r="E208" s="7">
        <v>347.1</v>
      </c>
      <c r="F208" s="8">
        <v>160.09</v>
      </c>
      <c r="G208" s="7">
        <v>948</v>
      </c>
      <c r="H208" s="7">
        <v>173.6</v>
      </c>
      <c r="I208" s="8">
        <v>597.29999999999995</v>
      </c>
      <c r="J208" s="7">
        <v>314.10000000000002</v>
      </c>
      <c r="K208" s="8">
        <v>921.51</v>
      </c>
      <c r="L208" s="17">
        <v>7.85E-2</v>
      </c>
    </row>
    <row r="209" spans="1:12" x14ac:dyDescent="0.25">
      <c r="A209" s="6">
        <v>44974</v>
      </c>
      <c r="B209" s="7">
        <v>27.54</v>
      </c>
      <c r="C209" s="7">
        <v>153.62</v>
      </c>
      <c r="D209" s="7">
        <v>249.4</v>
      </c>
      <c r="E209" s="7">
        <v>345.1</v>
      </c>
      <c r="F209" s="8">
        <v>159.72999999999999</v>
      </c>
      <c r="G209" s="7">
        <v>954</v>
      </c>
      <c r="H209" s="7">
        <v>172.3</v>
      </c>
      <c r="I209" s="8">
        <v>602.5</v>
      </c>
      <c r="J209" s="7">
        <v>316.60000000000002</v>
      </c>
      <c r="K209" s="8">
        <v>920.19</v>
      </c>
      <c r="L209" s="17">
        <v>7.8299999999999995E-2</v>
      </c>
    </row>
    <row r="210" spans="1:12" x14ac:dyDescent="0.25">
      <c r="A210" s="6">
        <v>44973</v>
      </c>
      <c r="B210" s="7">
        <v>27.43</v>
      </c>
      <c r="C210" s="7">
        <v>153.56</v>
      </c>
      <c r="D210" s="7">
        <v>247.35</v>
      </c>
      <c r="E210" s="7">
        <v>342.55</v>
      </c>
      <c r="F210" s="8">
        <v>158.22</v>
      </c>
      <c r="G210" s="7">
        <v>947.5</v>
      </c>
      <c r="H210" s="7">
        <v>172.6</v>
      </c>
      <c r="I210" s="8">
        <v>602.20000000000005</v>
      </c>
      <c r="J210" s="7">
        <v>315.60000000000002</v>
      </c>
      <c r="K210" s="8">
        <v>906.71</v>
      </c>
      <c r="L210" s="17">
        <v>7.9100000000000004E-2</v>
      </c>
    </row>
    <row r="211" spans="1:12" x14ac:dyDescent="0.25">
      <c r="A211" s="6">
        <v>44972</v>
      </c>
      <c r="B211" s="7">
        <v>26.65</v>
      </c>
      <c r="C211" s="7">
        <v>153.09</v>
      </c>
      <c r="D211" s="7">
        <v>244.2</v>
      </c>
      <c r="E211" s="7">
        <v>339.6</v>
      </c>
      <c r="F211" s="8">
        <v>156.25</v>
      </c>
      <c r="G211" s="7">
        <v>932</v>
      </c>
      <c r="H211" s="7">
        <v>173.8</v>
      </c>
      <c r="I211" s="8">
        <v>601.9</v>
      </c>
      <c r="J211" s="7">
        <v>313.8</v>
      </c>
      <c r="K211" s="8">
        <v>914.94</v>
      </c>
      <c r="L211" s="17">
        <v>7.85E-2</v>
      </c>
    </row>
    <row r="212" spans="1:12" x14ac:dyDescent="0.25">
      <c r="A212" s="6">
        <v>44971</v>
      </c>
      <c r="B212" s="7">
        <v>27.77</v>
      </c>
      <c r="C212" s="7">
        <v>156.52000000000001</v>
      </c>
      <c r="D212" s="7">
        <v>252.55</v>
      </c>
      <c r="E212" s="7">
        <v>344.2</v>
      </c>
      <c r="F212" s="8">
        <v>161.86000000000001</v>
      </c>
      <c r="G212" s="7">
        <v>993</v>
      </c>
      <c r="H212" s="7">
        <v>181.5</v>
      </c>
      <c r="I212" s="8">
        <v>622.29999999999995</v>
      </c>
      <c r="J212" s="7">
        <v>326.39999999999998</v>
      </c>
      <c r="K212" s="8">
        <v>952.85</v>
      </c>
      <c r="L212" s="17">
        <v>7.8399999999999997E-2</v>
      </c>
    </row>
    <row r="213" spans="1:12" x14ac:dyDescent="0.25">
      <c r="A213" s="6">
        <v>44970</v>
      </c>
      <c r="B213" s="7">
        <v>28.32</v>
      </c>
      <c r="C213" s="7">
        <v>158.01</v>
      </c>
      <c r="D213" s="7">
        <v>259.2</v>
      </c>
      <c r="E213" s="7">
        <v>349.4</v>
      </c>
      <c r="F213" s="8">
        <v>164.32</v>
      </c>
      <c r="G213" s="7">
        <v>1012</v>
      </c>
      <c r="H213" s="7">
        <v>187.5</v>
      </c>
      <c r="I213" s="8">
        <v>632.9</v>
      </c>
      <c r="J213" s="7">
        <v>325.3</v>
      </c>
      <c r="K213" s="8">
        <v>965.86</v>
      </c>
      <c r="L213" s="17">
        <v>7.8399999999999997E-2</v>
      </c>
    </row>
    <row r="214" spans="1:12" x14ac:dyDescent="0.25">
      <c r="A214" s="6">
        <v>44967</v>
      </c>
      <c r="B214" s="7">
        <v>28.82</v>
      </c>
      <c r="C214" s="7">
        <v>158.68</v>
      </c>
      <c r="D214" s="7">
        <v>257.64999999999998</v>
      </c>
      <c r="E214" s="7">
        <v>351</v>
      </c>
      <c r="F214" s="8">
        <v>165.52</v>
      </c>
      <c r="G214" s="7">
        <v>985.5</v>
      </c>
      <c r="H214" s="7">
        <v>187</v>
      </c>
      <c r="I214" s="8">
        <v>630.4</v>
      </c>
      <c r="J214" s="7">
        <v>323.5</v>
      </c>
      <c r="K214" s="8">
        <v>971.95</v>
      </c>
      <c r="L214" s="17">
        <v>7.5800000000000006E-2</v>
      </c>
    </row>
    <row r="215" spans="1:12" x14ac:dyDescent="0.25">
      <c r="A215" s="6">
        <v>44966</v>
      </c>
      <c r="B215" s="7">
        <v>29.4</v>
      </c>
      <c r="C215" s="7">
        <v>159.19</v>
      </c>
      <c r="D215" s="7">
        <v>256.85000000000002</v>
      </c>
      <c r="E215" s="7">
        <v>350.2</v>
      </c>
      <c r="F215" s="8">
        <v>165.31</v>
      </c>
      <c r="G215" s="7">
        <v>1001</v>
      </c>
      <c r="H215" s="7">
        <v>187.8</v>
      </c>
      <c r="I215" s="8">
        <v>622.9</v>
      </c>
      <c r="J215" s="7">
        <v>324.39999999999998</v>
      </c>
      <c r="K215" s="8">
        <v>977.98</v>
      </c>
      <c r="L215" s="17">
        <v>7.5399999999999995E-2</v>
      </c>
    </row>
    <row r="216" spans="1:12" x14ac:dyDescent="0.25">
      <c r="A216" s="6">
        <v>44965</v>
      </c>
      <c r="B216" s="7">
        <v>29.43</v>
      </c>
      <c r="C216" s="7">
        <v>158.18</v>
      </c>
      <c r="D216" s="7">
        <v>260.7</v>
      </c>
      <c r="E216" s="7">
        <v>349.85</v>
      </c>
      <c r="F216" s="8">
        <v>164.15</v>
      </c>
      <c r="G216" s="7">
        <v>1003.5</v>
      </c>
      <c r="H216" s="7">
        <v>185.3</v>
      </c>
      <c r="I216" s="8">
        <v>626</v>
      </c>
      <c r="J216" s="7">
        <v>324.2</v>
      </c>
      <c r="K216" s="8">
        <v>981.82</v>
      </c>
      <c r="L216" s="17">
        <v>7.5300000000000006E-2</v>
      </c>
    </row>
    <row r="217" spans="1:12" x14ac:dyDescent="0.25">
      <c r="A217" s="6">
        <v>44964</v>
      </c>
      <c r="B217" s="7">
        <v>28.67</v>
      </c>
      <c r="C217" s="7">
        <v>159.87</v>
      </c>
      <c r="D217" s="7">
        <v>261.05</v>
      </c>
      <c r="E217" s="7">
        <v>355.25</v>
      </c>
      <c r="F217" s="8">
        <v>165.39</v>
      </c>
      <c r="G217" s="7">
        <v>1015</v>
      </c>
      <c r="H217" s="7">
        <v>181.6</v>
      </c>
      <c r="I217" s="8">
        <v>623</v>
      </c>
      <c r="J217" s="7">
        <v>323.8</v>
      </c>
      <c r="K217" s="8">
        <v>1004.37</v>
      </c>
      <c r="L217" s="17">
        <v>7.4499999999999997E-2</v>
      </c>
    </row>
    <row r="218" spans="1:12" x14ac:dyDescent="0.25">
      <c r="A218" s="6">
        <v>44963</v>
      </c>
      <c r="B218" s="7">
        <v>28.27</v>
      </c>
      <c r="C218" s="7">
        <v>160.13999999999999</v>
      </c>
      <c r="D218" s="7">
        <v>259.2</v>
      </c>
      <c r="E218" s="7">
        <v>347.1</v>
      </c>
      <c r="F218" s="8">
        <v>167.09</v>
      </c>
      <c r="G218" s="7">
        <v>997.5</v>
      </c>
      <c r="H218" s="7">
        <v>182.3</v>
      </c>
      <c r="I218" s="8">
        <v>625.9</v>
      </c>
      <c r="J218" s="7">
        <v>325.5</v>
      </c>
      <c r="K218" s="8">
        <v>1007.15</v>
      </c>
      <c r="L218" s="17">
        <v>7.3700000000000002E-2</v>
      </c>
    </row>
    <row r="219" spans="1:12" x14ac:dyDescent="0.25">
      <c r="A219" s="6">
        <v>44960</v>
      </c>
      <c r="B219" s="7">
        <v>27.85</v>
      </c>
      <c r="C219" s="7">
        <v>160.87</v>
      </c>
      <c r="D219" s="7">
        <v>255.2</v>
      </c>
      <c r="E219" s="7">
        <v>341.85</v>
      </c>
      <c r="F219" s="8">
        <v>161.26</v>
      </c>
      <c r="G219" s="7">
        <v>1001.5</v>
      </c>
      <c r="H219" s="7">
        <v>180.4</v>
      </c>
      <c r="I219" s="8">
        <v>617</v>
      </c>
      <c r="J219" s="7">
        <v>323.89999999999998</v>
      </c>
      <c r="K219" s="8">
        <v>1002.52</v>
      </c>
      <c r="L219" s="17">
        <v>7.3899999999999993E-2</v>
      </c>
    </row>
    <row r="220" spans="1:12" x14ac:dyDescent="0.25">
      <c r="A220" s="6">
        <v>44959</v>
      </c>
      <c r="B220" s="7">
        <v>28.24</v>
      </c>
      <c r="C220" s="7">
        <v>158.1</v>
      </c>
      <c r="D220" s="7">
        <v>256.10000000000002</v>
      </c>
      <c r="E220" s="7">
        <v>342.1</v>
      </c>
      <c r="F220" s="8">
        <v>159.44999999999999</v>
      </c>
      <c r="G220" s="7">
        <v>1012</v>
      </c>
      <c r="H220" s="7">
        <v>182.3</v>
      </c>
      <c r="I220" s="8">
        <v>619.6</v>
      </c>
      <c r="J220" s="7">
        <v>326.60000000000002</v>
      </c>
      <c r="K220" s="8">
        <v>1004.08</v>
      </c>
      <c r="L220" s="17">
        <v>7.3200000000000001E-2</v>
      </c>
    </row>
    <row r="221" spans="1:12" x14ac:dyDescent="0.25">
      <c r="A221" s="6">
        <v>44958</v>
      </c>
      <c r="B221" s="7">
        <v>28.01</v>
      </c>
      <c r="C221" s="7">
        <v>158.12</v>
      </c>
      <c r="D221" s="7">
        <v>251.75</v>
      </c>
      <c r="E221" s="7">
        <v>343</v>
      </c>
      <c r="F221" s="8">
        <v>158.29</v>
      </c>
      <c r="G221" s="7">
        <v>951</v>
      </c>
      <c r="H221" s="7">
        <v>180.5</v>
      </c>
      <c r="I221" s="8">
        <v>622.29999999999995</v>
      </c>
      <c r="J221" s="7">
        <v>328.5</v>
      </c>
      <c r="K221" s="8">
        <v>1002.47</v>
      </c>
      <c r="L221" s="17">
        <v>7.3099999999999998E-2</v>
      </c>
    </row>
    <row r="222" spans="1:12" x14ac:dyDescent="0.25">
      <c r="A222" s="6">
        <v>44957</v>
      </c>
      <c r="B222" s="7">
        <v>28</v>
      </c>
      <c r="C222" s="7">
        <v>158.1</v>
      </c>
      <c r="D222" s="7">
        <v>249.65</v>
      </c>
      <c r="E222" s="7">
        <v>340.75</v>
      </c>
      <c r="F222" s="8">
        <v>158.07</v>
      </c>
      <c r="G222" s="7">
        <v>968</v>
      </c>
      <c r="H222" s="7">
        <v>177.7</v>
      </c>
      <c r="I222" s="8">
        <v>619.1</v>
      </c>
      <c r="J222" s="7">
        <v>328.8</v>
      </c>
      <c r="K222" s="8">
        <v>1001.23</v>
      </c>
      <c r="L222" s="17">
        <v>7.2999999999999995E-2</v>
      </c>
    </row>
    <row r="223" spans="1:12" x14ac:dyDescent="0.25">
      <c r="A223" s="6">
        <v>44956</v>
      </c>
      <c r="B223" s="7">
        <v>27.86</v>
      </c>
      <c r="C223" s="7">
        <v>158.41</v>
      </c>
      <c r="D223" s="7">
        <v>244.9</v>
      </c>
      <c r="E223" s="7">
        <v>337.65</v>
      </c>
      <c r="F223" s="8">
        <v>153.38</v>
      </c>
      <c r="G223" s="7">
        <v>945.5</v>
      </c>
      <c r="H223" s="7">
        <v>175.1</v>
      </c>
      <c r="I223" s="8">
        <v>609.70000000000005</v>
      </c>
      <c r="J223" s="7">
        <v>332.7</v>
      </c>
      <c r="K223" s="8">
        <v>987.39</v>
      </c>
      <c r="L223" s="17">
        <v>7.2700000000000001E-2</v>
      </c>
    </row>
    <row r="224" spans="1:12" x14ac:dyDescent="0.25">
      <c r="A224" s="6">
        <v>44953</v>
      </c>
      <c r="B224" s="7">
        <v>27.7</v>
      </c>
      <c r="C224" s="7">
        <v>159.08000000000001</v>
      </c>
      <c r="D224" s="7">
        <v>242.15</v>
      </c>
      <c r="E224" s="7">
        <v>336.95</v>
      </c>
      <c r="F224" s="8">
        <v>153.19999999999999</v>
      </c>
      <c r="G224" s="7">
        <v>939.5</v>
      </c>
      <c r="H224" s="7">
        <v>175.8</v>
      </c>
      <c r="I224" s="8">
        <v>610.70000000000005</v>
      </c>
      <c r="J224" s="7">
        <v>333</v>
      </c>
      <c r="K224" s="8">
        <v>992.37</v>
      </c>
      <c r="L224" s="17">
        <v>7.3200000000000001E-2</v>
      </c>
    </row>
    <row r="225" spans="1:12" x14ac:dyDescent="0.25">
      <c r="A225" s="6">
        <v>44952</v>
      </c>
      <c r="B225" s="7">
        <v>27.3</v>
      </c>
      <c r="C225" s="7">
        <v>157.58000000000001</v>
      </c>
      <c r="D225" s="7">
        <v>240</v>
      </c>
      <c r="E225" s="7">
        <v>335</v>
      </c>
      <c r="F225" s="8">
        <v>152.4</v>
      </c>
      <c r="G225" s="7">
        <v>935.5</v>
      </c>
      <c r="H225" s="7">
        <v>174</v>
      </c>
      <c r="I225" s="8">
        <v>612.6</v>
      </c>
      <c r="J225" s="7">
        <v>333.3</v>
      </c>
      <c r="K225" s="8">
        <v>985.85</v>
      </c>
      <c r="L225" s="17">
        <v>7.2900000000000006E-2</v>
      </c>
    </row>
    <row r="226" spans="1:12" x14ac:dyDescent="0.25">
      <c r="A226" s="6">
        <v>44951</v>
      </c>
      <c r="B226" s="7">
        <v>27.42</v>
      </c>
      <c r="C226" s="7">
        <v>158.99</v>
      </c>
      <c r="D226" s="7">
        <v>240.5</v>
      </c>
      <c r="E226" s="7">
        <v>338.2</v>
      </c>
      <c r="F226" s="8">
        <v>152.81</v>
      </c>
      <c r="G226" s="7">
        <v>934</v>
      </c>
      <c r="H226" s="7">
        <v>175.8</v>
      </c>
      <c r="I226" s="8">
        <v>615.20000000000005</v>
      </c>
      <c r="J226" s="7">
        <v>334.4</v>
      </c>
      <c r="K226" s="8">
        <v>987.02</v>
      </c>
      <c r="L226" s="17">
        <v>7.4300000000000005E-2</v>
      </c>
    </row>
    <row r="227" spans="1:12" x14ac:dyDescent="0.25">
      <c r="A227" s="6">
        <v>44950</v>
      </c>
      <c r="B227" s="7">
        <v>27.34</v>
      </c>
      <c r="C227" s="7">
        <v>157.88</v>
      </c>
      <c r="D227" s="7">
        <v>239</v>
      </c>
      <c r="E227" s="7">
        <v>336.75</v>
      </c>
      <c r="F227" s="8">
        <v>152.66</v>
      </c>
      <c r="G227" s="7">
        <v>952.5</v>
      </c>
      <c r="H227" s="7">
        <v>177.5</v>
      </c>
      <c r="I227" s="8">
        <v>609.29999999999995</v>
      </c>
      <c r="J227" s="7">
        <v>333.7</v>
      </c>
      <c r="K227" s="8">
        <v>990.41</v>
      </c>
      <c r="L227" s="17">
        <v>7.4399999999999994E-2</v>
      </c>
    </row>
    <row r="228" spans="1:12" x14ac:dyDescent="0.25">
      <c r="A228" s="6">
        <v>44949</v>
      </c>
      <c r="B228" s="7">
        <v>27.8</v>
      </c>
      <c r="C228" s="7">
        <v>160.06</v>
      </c>
      <c r="D228" s="7">
        <v>239.85</v>
      </c>
      <c r="E228" s="7">
        <v>340.05</v>
      </c>
      <c r="F228" s="8">
        <v>153.5</v>
      </c>
      <c r="G228" s="7">
        <v>954.5</v>
      </c>
      <c r="H228" s="7">
        <v>179.3</v>
      </c>
      <c r="I228" s="8">
        <v>605.9</v>
      </c>
      <c r="J228" s="7">
        <v>334.7</v>
      </c>
      <c r="K228" s="8">
        <v>998.69</v>
      </c>
      <c r="L228" s="17">
        <v>7.4700000000000003E-2</v>
      </c>
    </row>
    <row r="229" spans="1:12" x14ac:dyDescent="0.25">
      <c r="A229" s="6">
        <v>44946</v>
      </c>
      <c r="B229" s="7">
        <v>27.8</v>
      </c>
      <c r="C229" s="7">
        <v>158.85</v>
      </c>
      <c r="D229" s="7">
        <v>239.9</v>
      </c>
      <c r="E229" s="7">
        <v>336.55</v>
      </c>
      <c r="F229" s="8">
        <v>151.38</v>
      </c>
      <c r="G229" s="7">
        <v>944.5</v>
      </c>
      <c r="H229" s="7">
        <v>172.7</v>
      </c>
      <c r="I229" s="8">
        <v>604.20000000000005</v>
      </c>
      <c r="J229" s="7">
        <v>333.7</v>
      </c>
      <c r="K229" s="8">
        <v>991.88</v>
      </c>
      <c r="L229" s="17">
        <v>7.46E-2</v>
      </c>
    </row>
    <row r="230" spans="1:12" x14ac:dyDescent="0.25">
      <c r="A230" s="6">
        <v>44945</v>
      </c>
      <c r="B230" s="7">
        <v>27.48</v>
      </c>
      <c r="C230" s="7">
        <v>160.53</v>
      </c>
      <c r="D230" s="7">
        <v>237</v>
      </c>
      <c r="E230" s="7">
        <v>339.8</v>
      </c>
      <c r="F230" s="8">
        <v>149.34</v>
      </c>
      <c r="G230" s="7">
        <v>949.5</v>
      </c>
      <c r="H230" s="7">
        <v>174</v>
      </c>
      <c r="I230" s="8">
        <v>606.79999999999995</v>
      </c>
      <c r="J230" s="7">
        <v>335.2</v>
      </c>
      <c r="K230" s="8">
        <v>993.08</v>
      </c>
      <c r="L230" s="17">
        <v>7.4399999999999994E-2</v>
      </c>
    </row>
    <row r="231" spans="1:12" x14ac:dyDescent="0.25">
      <c r="A231" s="6">
        <v>44944</v>
      </c>
      <c r="B231" s="7">
        <v>27.56</v>
      </c>
      <c r="C231" s="7">
        <v>162.18</v>
      </c>
      <c r="D231" s="7">
        <v>237.6</v>
      </c>
      <c r="E231" s="7">
        <v>344.15</v>
      </c>
      <c r="F231" s="8">
        <v>151.47</v>
      </c>
      <c r="G231" s="7">
        <v>960.5</v>
      </c>
      <c r="H231" s="7">
        <v>177.7</v>
      </c>
      <c r="I231" s="8">
        <v>612.29999999999995</v>
      </c>
      <c r="J231" s="7">
        <v>339</v>
      </c>
      <c r="K231" s="8">
        <v>1006.35</v>
      </c>
      <c r="L231" s="17">
        <v>7.4099999999999999E-2</v>
      </c>
    </row>
    <row r="232" spans="1:12" x14ac:dyDescent="0.25">
      <c r="A232" s="6">
        <v>44943</v>
      </c>
      <c r="B232" s="7">
        <v>27.44</v>
      </c>
      <c r="C232" s="7">
        <v>162.33000000000001</v>
      </c>
      <c r="D232" s="7">
        <v>238.7</v>
      </c>
      <c r="E232" s="7">
        <v>341.35</v>
      </c>
      <c r="F232" s="8">
        <v>150.44999999999999</v>
      </c>
      <c r="G232" s="7">
        <v>952.5</v>
      </c>
      <c r="H232" s="7">
        <v>177.8</v>
      </c>
      <c r="I232" s="8">
        <v>607.20000000000005</v>
      </c>
      <c r="J232" s="7">
        <v>341.8</v>
      </c>
      <c r="K232" s="8">
        <v>1002.85</v>
      </c>
      <c r="L232" s="17">
        <v>7.3999999999999996E-2</v>
      </c>
    </row>
    <row r="233" spans="1:12" x14ac:dyDescent="0.25">
      <c r="A233" s="6">
        <v>44942</v>
      </c>
      <c r="B233" s="7">
        <v>28.78</v>
      </c>
      <c r="C233" s="7">
        <v>165.8</v>
      </c>
      <c r="D233" s="7">
        <v>242.2</v>
      </c>
      <c r="E233" s="7">
        <v>345.8</v>
      </c>
      <c r="F233" s="8">
        <v>153.71</v>
      </c>
      <c r="G233" s="7">
        <v>958</v>
      </c>
      <c r="H233" s="7">
        <v>175.6</v>
      </c>
      <c r="I233" s="8">
        <v>616.29999999999995</v>
      </c>
      <c r="J233" s="7">
        <v>345.7</v>
      </c>
      <c r="K233" s="8">
        <v>1024.44</v>
      </c>
      <c r="L233" s="17">
        <v>7.4300000000000005E-2</v>
      </c>
    </row>
    <row r="234" spans="1:12" x14ac:dyDescent="0.25">
      <c r="A234" s="6">
        <v>44939</v>
      </c>
      <c r="B234" s="7">
        <v>27.68</v>
      </c>
      <c r="C234" s="7">
        <v>164.56</v>
      </c>
      <c r="D234" s="7">
        <v>239.2</v>
      </c>
      <c r="E234" s="7">
        <v>346.05</v>
      </c>
      <c r="F234" s="8">
        <v>151.69</v>
      </c>
      <c r="G234" s="7">
        <v>962</v>
      </c>
      <c r="H234" s="7">
        <v>170.9</v>
      </c>
      <c r="I234" s="8">
        <v>600.6</v>
      </c>
      <c r="J234" s="7">
        <v>345.4</v>
      </c>
      <c r="K234" s="8">
        <v>1010.4</v>
      </c>
      <c r="L234" s="17">
        <v>7.4200000000000002E-2</v>
      </c>
    </row>
    <row r="235" spans="1:12" x14ac:dyDescent="0.25">
      <c r="A235" s="6">
        <v>44938</v>
      </c>
      <c r="B235" s="7">
        <v>27.52</v>
      </c>
      <c r="C235" s="7">
        <v>164.17</v>
      </c>
      <c r="D235" s="7">
        <v>239</v>
      </c>
      <c r="E235" s="7">
        <v>346.85</v>
      </c>
      <c r="F235" s="8">
        <v>149.30000000000001</v>
      </c>
      <c r="G235" s="7">
        <v>958</v>
      </c>
      <c r="H235" s="7">
        <v>171.3</v>
      </c>
      <c r="I235" s="8">
        <v>602.9</v>
      </c>
      <c r="J235" s="7">
        <v>345.5</v>
      </c>
      <c r="K235" s="8">
        <v>1015.94</v>
      </c>
      <c r="L235" s="17">
        <v>7.3899999999999993E-2</v>
      </c>
    </row>
    <row r="236" spans="1:12" x14ac:dyDescent="0.25">
      <c r="A236" s="6">
        <v>44937</v>
      </c>
      <c r="B236" s="7">
        <v>27.68</v>
      </c>
      <c r="C236" s="7">
        <v>165.83</v>
      </c>
      <c r="D236" s="7">
        <v>240</v>
      </c>
      <c r="E236" s="7">
        <v>347.35</v>
      </c>
      <c r="F236" s="8">
        <v>149.96</v>
      </c>
      <c r="G236" s="7">
        <v>952.5</v>
      </c>
      <c r="H236" s="7">
        <v>171</v>
      </c>
      <c r="I236" s="8">
        <v>604.70000000000005</v>
      </c>
      <c r="J236" s="7">
        <v>346</v>
      </c>
      <c r="K236" s="8">
        <v>1002.62</v>
      </c>
      <c r="L236" s="17">
        <v>7.3599999999999999E-2</v>
      </c>
    </row>
    <row r="237" spans="1:12" x14ac:dyDescent="0.25">
      <c r="A237" s="6">
        <v>44936</v>
      </c>
      <c r="B237" s="7">
        <v>26.72</v>
      </c>
      <c r="C237" s="7">
        <v>162.1</v>
      </c>
      <c r="D237" s="7">
        <v>237.3</v>
      </c>
      <c r="E237" s="7">
        <v>366.75</v>
      </c>
      <c r="F237" s="8">
        <v>142.81</v>
      </c>
      <c r="G237" s="7">
        <v>950.5</v>
      </c>
      <c r="H237" s="7">
        <v>169.9</v>
      </c>
      <c r="I237" s="8">
        <v>599.70000000000005</v>
      </c>
      <c r="J237" s="7">
        <v>345.7</v>
      </c>
      <c r="K237" s="8">
        <v>974.51</v>
      </c>
      <c r="L237" s="17">
        <v>7.4300000000000005E-2</v>
      </c>
    </row>
    <row r="238" spans="1:12" x14ac:dyDescent="0.25">
      <c r="A238" s="6">
        <v>44935</v>
      </c>
      <c r="B238" s="7">
        <v>26.08</v>
      </c>
      <c r="C238" s="7">
        <v>162.71</v>
      </c>
      <c r="D238" s="7">
        <v>237.7</v>
      </c>
      <c r="E238" s="7">
        <v>367.95</v>
      </c>
      <c r="F238" s="8">
        <v>142.4</v>
      </c>
      <c r="G238" s="7">
        <v>963</v>
      </c>
      <c r="H238" s="7">
        <v>170.5</v>
      </c>
      <c r="I238" s="8">
        <v>600.1</v>
      </c>
      <c r="J238" s="7">
        <v>346.7</v>
      </c>
      <c r="K238" s="8">
        <v>977.79</v>
      </c>
      <c r="L238" s="17">
        <v>7.3499999999999996E-2</v>
      </c>
    </row>
    <row r="239" spans="1:12" x14ac:dyDescent="0.25">
      <c r="A239" s="6">
        <v>44932</v>
      </c>
      <c r="B239" s="7">
        <v>25.46</v>
      </c>
      <c r="C239" s="7">
        <v>162.1</v>
      </c>
      <c r="D239" s="7">
        <v>236.5</v>
      </c>
      <c r="E239" s="7">
        <v>367.3</v>
      </c>
      <c r="F239" s="8">
        <v>141.4</v>
      </c>
      <c r="G239" s="7">
        <v>953.5</v>
      </c>
      <c r="H239" s="7">
        <v>167</v>
      </c>
      <c r="I239" s="8">
        <v>602.4</v>
      </c>
      <c r="J239" s="7">
        <v>350.6</v>
      </c>
      <c r="K239" s="8">
        <v>942.73</v>
      </c>
      <c r="L239" s="17">
        <v>7.0300000000000001E-2</v>
      </c>
    </row>
    <row r="240" spans="1:12" x14ac:dyDescent="0.25">
      <c r="A240" s="6">
        <v>44931</v>
      </c>
      <c r="B240" s="7">
        <v>25.6</v>
      </c>
      <c r="C240" s="7">
        <v>161.19999999999999</v>
      </c>
      <c r="D240" s="7">
        <v>236.15</v>
      </c>
      <c r="E240" s="7">
        <v>367.5</v>
      </c>
      <c r="F240" s="8">
        <v>141.27000000000001</v>
      </c>
      <c r="G240" s="7">
        <v>957</v>
      </c>
      <c r="H240" s="7">
        <v>169.7</v>
      </c>
      <c r="I240" s="8">
        <v>604.9</v>
      </c>
      <c r="J240" s="7">
        <v>349.4</v>
      </c>
      <c r="K240" s="8">
        <v>940.85</v>
      </c>
      <c r="L240" s="17">
        <v>7.0599999999999996E-2</v>
      </c>
    </row>
    <row r="241" spans="1:12" x14ac:dyDescent="0.25">
      <c r="A241" s="6">
        <v>44930</v>
      </c>
      <c r="B241" s="7">
        <v>25.04</v>
      </c>
      <c r="C241" s="7">
        <v>162.51</v>
      </c>
      <c r="D241" s="7">
        <v>236.5</v>
      </c>
      <c r="E241" s="7">
        <v>365.8</v>
      </c>
      <c r="F241" s="8">
        <v>141.43</v>
      </c>
      <c r="G241" s="7">
        <v>962</v>
      </c>
      <c r="H241" s="7">
        <v>173.5</v>
      </c>
      <c r="I241" s="8">
        <v>607</v>
      </c>
      <c r="J241" s="7">
        <v>350.8</v>
      </c>
      <c r="K241" s="8">
        <v>949.91</v>
      </c>
      <c r="L241" s="17">
        <v>7.0300000000000001E-2</v>
      </c>
    </row>
    <row r="242" spans="1:12" x14ac:dyDescent="0.25">
      <c r="A242" s="6">
        <v>44929</v>
      </c>
      <c r="B242" s="7">
        <v>24.64</v>
      </c>
      <c r="C242" s="7">
        <v>163.52000000000001</v>
      </c>
      <c r="D242" s="7">
        <v>235.35</v>
      </c>
      <c r="E242" s="7">
        <v>368.05</v>
      </c>
      <c r="F242" s="8">
        <v>141.78</v>
      </c>
      <c r="G242" s="7">
        <v>966.5</v>
      </c>
      <c r="H242" s="7">
        <v>166.2</v>
      </c>
      <c r="I242" s="8">
        <v>604.20000000000005</v>
      </c>
      <c r="J242" s="7">
        <v>351.6</v>
      </c>
      <c r="K242" s="8">
        <v>963.08</v>
      </c>
      <c r="L242" s="17">
        <v>7.0099999999999996E-2</v>
      </c>
    </row>
    <row r="243" spans="1:12" x14ac:dyDescent="0.25">
      <c r="A243" s="6">
        <v>44925</v>
      </c>
      <c r="B243" s="7">
        <v>24.6</v>
      </c>
      <c r="C243" s="7">
        <v>162.56</v>
      </c>
      <c r="D243" s="7">
        <v>236.4</v>
      </c>
      <c r="E243" s="7">
        <v>365.4</v>
      </c>
      <c r="F243" s="8">
        <v>141.15</v>
      </c>
      <c r="G243" s="7">
        <v>941.5</v>
      </c>
      <c r="H243" s="7">
        <v>160.69999999999999</v>
      </c>
      <c r="I243" s="8">
        <v>602.5</v>
      </c>
      <c r="J243" s="7">
        <v>348.5</v>
      </c>
      <c r="K243" s="8">
        <v>970.6</v>
      </c>
      <c r="L243" s="17">
        <v>7.2499999999999995E-2</v>
      </c>
    </row>
    <row r="244" spans="1:12" x14ac:dyDescent="0.25">
      <c r="A244" s="6">
        <v>44924</v>
      </c>
      <c r="B244" s="7">
        <v>24.56</v>
      </c>
      <c r="C244" s="7">
        <v>162.91</v>
      </c>
      <c r="D244" s="7">
        <v>234.75</v>
      </c>
      <c r="E244" s="7">
        <v>359.6</v>
      </c>
      <c r="F244" s="8">
        <v>140.96</v>
      </c>
      <c r="G244" s="7">
        <v>940</v>
      </c>
      <c r="H244" s="7">
        <v>161.19999999999999</v>
      </c>
      <c r="I244" s="8">
        <v>603.20000000000005</v>
      </c>
      <c r="J244" s="7">
        <v>349</v>
      </c>
      <c r="K244" s="8">
        <v>936.8</v>
      </c>
      <c r="L244" s="17">
        <v>7.4200000000000002E-2</v>
      </c>
    </row>
    <row r="245" spans="1:12" x14ac:dyDescent="0.25">
      <c r="A245" s="6">
        <v>44923</v>
      </c>
      <c r="B245" s="7">
        <v>24.18</v>
      </c>
      <c r="C245" s="7">
        <v>161.82</v>
      </c>
      <c r="D245" s="7">
        <v>231.9</v>
      </c>
      <c r="E245" s="7">
        <v>355.1</v>
      </c>
      <c r="F245" s="8">
        <v>139.51</v>
      </c>
      <c r="G245" s="7">
        <v>941.5</v>
      </c>
      <c r="H245" s="7">
        <v>160.1</v>
      </c>
      <c r="I245" s="8">
        <v>602.1</v>
      </c>
      <c r="J245" s="7">
        <v>346.8</v>
      </c>
      <c r="K245" s="8">
        <v>933.76</v>
      </c>
      <c r="L245" s="17">
        <v>7.5200000000000003E-2</v>
      </c>
    </row>
    <row r="246" spans="1:12" x14ac:dyDescent="0.25">
      <c r="A246" s="6">
        <v>44922</v>
      </c>
      <c r="B246" s="7">
        <v>24.32</v>
      </c>
      <c r="C246" s="7">
        <v>164.07</v>
      </c>
      <c r="D246" s="7">
        <v>229.8</v>
      </c>
      <c r="E246" s="7">
        <v>355.45</v>
      </c>
      <c r="F246" s="8">
        <v>139.9</v>
      </c>
      <c r="G246" s="7">
        <v>943.5</v>
      </c>
      <c r="H246" s="7">
        <v>162.30000000000001</v>
      </c>
      <c r="I246" s="8">
        <v>597.4</v>
      </c>
      <c r="J246" s="7">
        <v>348.9</v>
      </c>
      <c r="K246" s="8">
        <v>960.51</v>
      </c>
      <c r="L246" s="17">
        <v>7.5499999999999998E-2</v>
      </c>
    </row>
    <row r="247" spans="1:12" x14ac:dyDescent="0.25">
      <c r="A247" s="6">
        <v>44921</v>
      </c>
      <c r="B247" s="7">
        <v>24.46</v>
      </c>
      <c r="C247" s="7">
        <v>162.12</v>
      </c>
      <c r="D247" s="7">
        <v>228.9</v>
      </c>
      <c r="E247" s="7">
        <v>352.4</v>
      </c>
      <c r="F247" s="8">
        <v>140.94999999999999</v>
      </c>
      <c r="G247" s="7">
        <v>921.5</v>
      </c>
      <c r="H247" s="7">
        <v>162.9</v>
      </c>
      <c r="I247" s="8">
        <v>602.79999999999995</v>
      </c>
      <c r="J247" s="7">
        <v>350.8</v>
      </c>
      <c r="K247" s="8">
        <v>977.29</v>
      </c>
      <c r="L247" s="17">
        <v>7.4200000000000002E-2</v>
      </c>
    </row>
    <row r="248" spans="1:12" x14ac:dyDescent="0.25">
      <c r="A248" s="6">
        <v>44918</v>
      </c>
      <c r="B248" s="7">
        <v>24.22</v>
      </c>
      <c r="C248" s="7">
        <v>160.88999999999999</v>
      </c>
      <c r="D248" s="7">
        <v>227</v>
      </c>
      <c r="E248" s="7">
        <v>343.3</v>
      </c>
      <c r="F248" s="8">
        <v>137.94</v>
      </c>
      <c r="G248" s="7">
        <v>929</v>
      </c>
      <c r="H248" s="7">
        <v>164.5</v>
      </c>
      <c r="I248" s="8">
        <v>597.79999999999995</v>
      </c>
      <c r="J248" s="7">
        <v>349.4</v>
      </c>
      <c r="K248" s="8">
        <v>963.51</v>
      </c>
      <c r="L248" s="17">
        <v>7.4099999999999999E-2</v>
      </c>
    </row>
    <row r="249" spans="1:12" x14ac:dyDescent="0.25">
      <c r="A249" s="6">
        <v>44917</v>
      </c>
      <c r="B249" s="7">
        <v>24.18</v>
      </c>
      <c r="C249" s="7">
        <v>157.94999999999999</v>
      </c>
      <c r="D249" s="7">
        <v>227</v>
      </c>
      <c r="E249" s="7">
        <v>344.7</v>
      </c>
      <c r="F249" s="8">
        <v>137.69</v>
      </c>
      <c r="G249" s="7">
        <v>924</v>
      </c>
      <c r="H249" s="7">
        <v>162.69999999999999</v>
      </c>
      <c r="I249" s="8">
        <v>601.4</v>
      </c>
      <c r="J249" s="7">
        <v>350.5</v>
      </c>
      <c r="K249" s="8">
        <v>969.7</v>
      </c>
      <c r="L249" s="17">
        <v>7.3499999999999996E-2</v>
      </c>
    </row>
    <row r="250" spans="1:12" x14ac:dyDescent="0.25">
      <c r="A250" s="6">
        <v>44916</v>
      </c>
      <c r="B250" s="7">
        <v>24.06</v>
      </c>
      <c r="C250" s="7">
        <v>157.59</v>
      </c>
      <c r="D250" s="7">
        <v>224.5</v>
      </c>
      <c r="E250" s="7">
        <v>345.2</v>
      </c>
      <c r="F250" s="8">
        <v>137.75</v>
      </c>
      <c r="G250" s="7">
        <v>921.5</v>
      </c>
      <c r="H250" s="7">
        <v>161.19999999999999</v>
      </c>
      <c r="I250" s="8">
        <v>598.29999999999995</v>
      </c>
      <c r="J250" s="7">
        <v>351.1</v>
      </c>
      <c r="K250" s="8">
        <v>940.03</v>
      </c>
      <c r="L250" s="17">
        <v>7.3300000000000004E-2</v>
      </c>
    </row>
    <row r="251" spans="1:12" x14ac:dyDescent="0.25">
      <c r="A251" s="6">
        <v>44915</v>
      </c>
      <c r="B251" s="7">
        <v>24.12</v>
      </c>
      <c r="C251" s="7">
        <v>158.94</v>
      </c>
      <c r="D251" s="7">
        <v>227.45</v>
      </c>
      <c r="E251" s="7">
        <v>344.15</v>
      </c>
      <c r="F251" s="8">
        <v>138.28</v>
      </c>
      <c r="G251" s="7">
        <v>924</v>
      </c>
      <c r="H251" s="7">
        <v>162.80000000000001</v>
      </c>
      <c r="I251" s="8">
        <v>597.4</v>
      </c>
      <c r="J251" s="7">
        <v>354.6</v>
      </c>
      <c r="K251" s="8">
        <v>967.24</v>
      </c>
      <c r="L251" s="17">
        <v>7.3499999999999996E-2</v>
      </c>
    </row>
    <row r="252" spans="1:12" x14ac:dyDescent="0.25">
      <c r="A252" s="6">
        <v>44914</v>
      </c>
      <c r="B252" s="7">
        <v>23.94</v>
      </c>
      <c r="C252" s="7">
        <v>157.61000000000001</v>
      </c>
      <c r="D252" s="7">
        <v>223.7</v>
      </c>
      <c r="E252" s="7">
        <v>333</v>
      </c>
      <c r="F252" s="8">
        <v>134.63999999999999</v>
      </c>
      <c r="G252" s="7">
        <v>922</v>
      </c>
      <c r="H252" s="7">
        <v>158.9</v>
      </c>
      <c r="I252" s="8">
        <v>581.1</v>
      </c>
      <c r="J252" s="7">
        <v>348.5</v>
      </c>
      <c r="K252" s="8">
        <v>991.38</v>
      </c>
      <c r="L252" s="17">
        <v>7.3400000000000007E-2</v>
      </c>
    </row>
    <row r="253" spans="1:12" x14ac:dyDescent="0.25">
      <c r="A253" s="6">
        <v>44911</v>
      </c>
      <c r="B253" s="7">
        <v>24.24</v>
      </c>
      <c r="C253" s="7">
        <v>160.24</v>
      </c>
      <c r="D253" s="7">
        <v>226.9</v>
      </c>
      <c r="E253" s="7">
        <v>330.9</v>
      </c>
      <c r="F253" s="8">
        <v>135.44999999999999</v>
      </c>
      <c r="G253" s="7">
        <v>929</v>
      </c>
      <c r="H253" s="7">
        <v>161.6</v>
      </c>
      <c r="I253" s="8">
        <v>605.9</v>
      </c>
      <c r="J253" s="7">
        <v>354.4</v>
      </c>
      <c r="K253" s="8">
        <v>1038.6300000000001</v>
      </c>
      <c r="L253" s="17">
        <v>6.9900000000000004E-2</v>
      </c>
    </row>
    <row r="254" spans="1:12" x14ac:dyDescent="0.25">
      <c r="A254" s="6">
        <v>44910</v>
      </c>
      <c r="B254" s="7">
        <v>24.08</v>
      </c>
      <c r="C254" s="7">
        <v>160.31</v>
      </c>
      <c r="D254" s="7">
        <v>221.15</v>
      </c>
      <c r="E254" s="7">
        <v>328</v>
      </c>
      <c r="F254" s="8">
        <v>134.55000000000001</v>
      </c>
      <c r="G254" s="7">
        <v>913</v>
      </c>
      <c r="H254" s="7">
        <v>161.69999999999999</v>
      </c>
      <c r="I254" s="8">
        <v>607.9</v>
      </c>
      <c r="J254" s="7">
        <v>351.8</v>
      </c>
      <c r="K254" s="8">
        <v>1042.01</v>
      </c>
      <c r="L254" s="17">
        <v>6.9900000000000004E-2</v>
      </c>
    </row>
    <row r="255" spans="1:12" x14ac:dyDescent="0.25">
      <c r="A255" s="6">
        <v>44909</v>
      </c>
      <c r="B255" s="7">
        <v>24.44</v>
      </c>
      <c r="C255" s="7">
        <v>160.74</v>
      </c>
      <c r="D255" s="7">
        <v>226.4</v>
      </c>
      <c r="E255" s="7">
        <v>333.5</v>
      </c>
      <c r="F255" s="8">
        <v>137.30000000000001</v>
      </c>
      <c r="G255" s="7">
        <v>924</v>
      </c>
      <c r="H255" s="7">
        <v>165.5</v>
      </c>
      <c r="I255" s="8">
        <v>588.6</v>
      </c>
      <c r="J255" s="7">
        <v>356.8</v>
      </c>
      <c r="K255" s="8">
        <v>1060.74</v>
      </c>
      <c r="L255" s="17">
        <v>7.0099999999999996E-2</v>
      </c>
    </row>
    <row r="256" spans="1:12" x14ac:dyDescent="0.25">
      <c r="A256" s="6">
        <v>44908</v>
      </c>
      <c r="B256" s="7">
        <v>24.6</v>
      </c>
      <c r="C256" s="7">
        <v>162.4</v>
      </c>
      <c r="D256" s="7">
        <v>229.85</v>
      </c>
      <c r="E256" s="7">
        <v>337.4</v>
      </c>
      <c r="F256" s="8">
        <v>138.13</v>
      </c>
      <c r="G256" s="7">
        <v>928.5</v>
      </c>
      <c r="H256" s="7">
        <v>167.7</v>
      </c>
      <c r="I256" s="8">
        <v>591.79999999999995</v>
      </c>
      <c r="J256" s="7">
        <v>358.4</v>
      </c>
      <c r="K256" s="8">
        <v>1088.97</v>
      </c>
      <c r="L256" s="17">
        <v>7.0199999999999999E-2</v>
      </c>
    </row>
    <row r="257" spans="1:12" x14ac:dyDescent="0.25">
      <c r="A257" s="9">
        <v>44907</v>
      </c>
      <c r="B257" s="7">
        <v>24.76</v>
      </c>
      <c r="C257" s="10">
        <v>162.88999999999999</v>
      </c>
      <c r="D257" s="7">
        <v>231.1</v>
      </c>
      <c r="E257" s="7">
        <v>335.2</v>
      </c>
      <c r="F257" s="8">
        <v>139.47999999999999</v>
      </c>
      <c r="G257" s="7">
        <v>929</v>
      </c>
      <c r="H257" s="7">
        <v>166.6</v>
      </c>
      <c r="I257" s="8">
        <v>593.4</v>
      </c>
      <c r="J257" s="10">
        <v>360.1</v>
      </c>
      <c r="K257" s="8">
        <v>1088.8599999999999</v>
      </c>
      <c r="L257" s="17">
        <v>7.1099999999999997E-2</v>
      </c>
    </row>
  </sheetData>
  <mergeCells count="1">
    <mergeCell ref="B2:J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C7D75-8C5C-461A-9AAB-CA9E5C999538}">
  <dimension ref="A2:M271"/>
  <sheetViews>
    <sheetView zoomScale="76" zoomScaleNormal="32" workbookViewId="0">
      <selection activeCell="F28" sqref="F28"/>
    </sheetView>
  </sheetViews>
  <sheetFormatPr defaultRowHeight="13.8" x14ac:dyDescent="0.25"/>
  <cols>
    <col min="1" max="1" width="12.21875" style="2" customWidth="1"/>
    <col min="2" max="2" width="11" style="2" customWidth="1"/>
    <col min="3" max="4" width="10.5546875" style="2" customWidth="1"/>
    <col min="5" max="5" width="10.21875" style="2" customWidth="1"/>
    <col min="6" max="6" width="11.109375" style="2" customWidth="1"/>
    <col min="7" max="7" width="11.33203125" style="2" customWidth="1"/>
    <col min="8" max="8" width="10.44140625" style="2" customWidth="1"/>
    <col min="9" max="9" width="8.88671875" style="2"/>
    <col min="10" max="10" width="10.109375" style="2" customWidth="1"/>
    <col min="11" max="11" width="12.44140625" style="2" customWidth="1"/>
    <col min="12" max="12" width="16.109375" style="18" customWidth="1"/>
    <col min="13" max="13" width="11.109375" style="2" customWidth="1"/>
    <col min="14" max="16384" width="8.88671875" style="2"/>
  </cols>
  <sheetData>
    <row r="2" spans="1:13" ht="15.6" x14ac:dyDescent="0.3">
      <c r="A2" s="1"/>
      <c r="B2" s="53" t="s">
        <v>12</v>
      </c>
      <c r="C2" s="53"/>
      <c r="D2" s="53"/>
      <c r="E2" s="53"/>
      <c r="F2" s="53"/>
      <c r="G2" s="53"/>
      <c r="H2" s="53"/>
      <c r="I2" s="53"/>
      <c r="J2" s="53"/>
      <c r="K2" s="11"/>
      <c r="L2" s="19"/>
      <c r="M2" s="11"/>
    </row>
    <row r="3" spans="1:13" ht="30.6" customHeight="1" x14ac:dyDescent="0.25">
      <c r="A3" s="3" t="s">
        <v>0</v>
      </c>
      <c r="B3" s="3" t="s">
        <v>3</v>
      </c>
      <c r="C3" s="3" t="s">
        <v>4</v>
      </c>
      <c r="D3" s="4" t="s">
        <v>5</v>
      </c>
      <c r="E3" s="3" t="s">
        <v>1</v>
      </c>
      <c r="F3" s="5" t="s">
        <v>6</v>
      </c>
      <c r="G3" s="3" t="s">
        <v>7</v>
      </c>
      <c r="H3" s="3" t="s">
        <v>8</v>
      </c>
      <c r="I3" s="5" t="s">
        <v>2</v>
      </c>
      <c r="J3" s="3" t="s">
        <v>9</v>
      </c>
      <c r="K3" s="5" t="s">
        <v>10</v>
      </c>
      <c r="L3" s="20" t="s">
        <v>13</v>
      </c>
      <c r="M3" s="49" t="s">
        <v>35</v>
      </c>
    </row>
    <row r="4" spans="1:13" x14ac:dyDescent="0.25">
      <c r="A4" s="6">
        <v>45268</v>
      </c>
      <c r="B4" s="12">
        <f>('Статистика акций за год'!B4-'Статистика акций за год'!B5)/'Статистика акций за год'!B5</f>
        <v>2.060675443617627E-2</v>
      </c>
      <c r="C4" s="12">
        <f>('Статистика акций за год'!C4-'Статистика акций за год'!C5)/'Статистика акций за год'!C5</f>
        <v>-1.150691639123513E-2</v>
      </c>
      <c r="D4" s="12">
        <f>('Статистика акций за год'!D4-'Статистика акций за год'!D5)/'Статистика акций за год'!D5</f>
        <v>3.9737730975559035E-4</v>
      </c>
      <c r="E4" s="12">
        <f>('Статистика акций за год'!E4-'Статистика акций за год'!E5)/'Статистика акций за год'!E5</f>
        <v>7.313592579379277E-3</v>
      </c>
      <c r="F4" s="12">
        <f>('Статистика акций за год'!F4-'Статистика акций за год'!F5)/'Статистика акций за год'!F5</f>
        <v>1.5087507543761489E-4</v>
      </c>
      <c r="G4" s="12">
        <f>('Статистика акций за год'!G4-'Статистика акций за год'!G5)/'Статистика акций за год'!G5</f>
        <v>-2.0642201834862386E-3</v>
      </c>
      <c r="H4" s="12">
        <f>('Статистика акций за год'!H4-'Статистика акций за год'!H5)/'Статистика акций за год'!H5</f>
        <v>1.4985590778097951E-2</v>
      </c>
      <c r="I4" s="12">
        <f>('Статистика акций за год'!I4-'Статистика акций за год'!I5)/'Статистика акций за год'!I5</f>
        <v>1.9679633867276853E-2</v>
      </c>
      <c r="J4" s="12">
        <f>('Статистика акций за год'!J4-'Статистика акций за год'!J5)/'Статистика акций за год'!J5</f>
        <v>1.8364739699776429E-2</v>
      </c>
      <c r="K4" s="12">
        <f>('Статистика акций за год'!K4-'Статистика акций за год'!K5)/'Статистика акций за год'!K5</f>
        <v>2.9204440597025679E-3</v>
      </c>
      <c r="L4" s="17">
        <v>0.12330000000000001</v>
      </c>
      <c r="M4" s="50">
        <f>POWER(L4+1,1/365)-1</f>
        <v>3.1860082922130495E-4</v>
      </c>
    </row>
    <row r="5" spans="1:13" x14ac:dyDescent="0.25">
      <c r="A5" s="6">
        <v>45267</v>
      </c>
      <c r="B5" s="12">
        <f>('Статистика акций за год'!B5-'Статистика акций за год'!B6)/'Статистика акций за год'!B6</f>
        <v>-8.5130533484677716E-3</v>
      </c>
      <c r="C5" s="12">
        <f>('Статистика акций за год'!C5-'Статистика акций за год'!C6)/'Статистика акций за год'!C6</f>
        <v>2.9230187728360755E-2</v>
      </c>
      <c r="D5" s="12">
        <f>('Статистика акций за год'!D5-'Статистика акций за год'!D6)/'Статистика акций за год'!D6</f>
        <v>1.3900080580177346E-2</v>
      </c>
      <c r="E5" s="12">
        <f>('Статистика акций за год'!E5-'Статистика акций за год'!E6)/'Статистика акций за год'!E6</f>
        <v>-8.7525417734947084E-3</v>
      </c>
      <c r="F5" s="12">
        <f>('Статистика акций за год'!F5-'Статистика акций за год'!F6)/'Статистика акций за год'!F6</f>
        <v>-9.1935122206442173E-3</v>
      </c>
      <c r="G5" s="12">
        <f>('Статистика акций за год'!G5-'Статистика акций за год'!G6)/'Статистика акций за год'!G6</f>
        <v>4.5892611289582378E-4</v>
      </c>
      <c r="H5" s="12">
        <f>('Статистика акций за год'!H5-'Статистика акций за год'!H6)/'Статистика акций за год'!H6</f>
        <v>5.767012687427584E-4</v>
      </c>
      <c r="I5" s="12">
        <f>('Статистика акций за год'!I5-'Статистика акций за год'!I6)/'Статистика акций за год'!I6</f>
        <v>-4.706954145156427E-3</v>
      </c>
      <c r="J5" s="12">
        <f>('Статистика акций за год'!J5-'Статистика акций за год'!J6)/'Статистика акций за год'!J6</f>
        <v>6.4288010286081641E-3</v>
      </c>
      <c r="K5" s="12">
        <f>('Статистика акций за год'!K5-'Статистика акций за год'!K6)/'Статистика акций за год'!K6</f>
        <v>5.6731210776060611E-3</v>
      </c>
      <c r="L5" s="17">
        <v>0.1236</v>
      </c>
      <c r="M5" s="50">
        <f t="shared" ref="M5:M68" si="0">POWER(L5+1,1/365)-1</f>
        <v>3.1933266417394357E-4</v>
      </c>
    </row>
    <row r="6" spans="1:13" x14ac:dyDescent="0.25">
      <c r="A6" s="6">
        <v>45266</v>
      </c>
      <c r="B6" s="12">
        <f>('Статистика акций за год'!B6-'Статистика акций за год'!B7)/'Статистика акций за год'!B7</f>
        <v>-2.2739877981142548E-2</v>
      </c>
      <c r="C6" s="12">
        <f>('Статистика акций за год'!C6-'Статистика акций за год'!C7)/'Статистика акций за год'!C7</f>
        <v>-1.071918235074161E-2</v>
      </c>
      <c r="D6" s="12">
        <f>('Статистика акций за год'!D6-'Статистика акций за год'!D7)/'Статистика акций за год'!D7</f>
        <v>-2.0714144801736042E-2</v>
      </c>
      <c r="E6" s="12">
        <f>('Статистика акций за год'!E6-'Статистика акций за год'!E7)/'Статистика акций за год'!E7</f>
        <v>-1.532166797249076E-2</v>
      </c>
      <c r="F6" s="12">
        <f>('Статистика акций за год'!F6-'Статистика акций за год'!F7)/'Статистика акций за год'!F7</f>
        <v>-4.3058436449467205E-2</v>
      </c>
      <c r="G6" s="12">
        <f>('Статистика акций за год'!G6-'Статистика акций за год'!G7)/'Статистика акций за год'!G7</f>
        <v>-2.983081032947462E-2</v>
      </c>
      <c r="H6" s="12">
        <f>('Статистика акций за год'!H6-'Статистика акций за год'!H7)/'Статистика акций за год'!H7</f>
        <v>-1.1402508551881414E-2</v>
      </c>
      <c r="I6" s="12">
        <f>('Статистика акций за год'!I6-'Статистика акций за год'!I7)/'Статистика акций за год'!I7</f>
        <v>-2.5739644970414168E-2</v>
      </c>
      <c r="J6" s="12">
        <f>('Статистика акций за год'!J6-'Статистика акций за год'!J7)/'Статистика акций за год'!J7</f>
        <v>-2.0465994962216624E-2</v>
      </c>
      <c r="K6" s="12">
        <f>('Статистика акций за год'!K6-'Статистика акций за год'!K7)/'Статистика акций за год'!K7</f>
        <v>-1.9556714471968835E-2</v>
      </c>
      <c r="L6" s="17">
        <v>0.1232</v>
      </c>
      <c r="M6" s="50">
        <f>POWER(L6+1,1/365)-1</f>
        <v>3.1835684092174077E-4</v>
      </c>
    </row>
    <row r="7" spans="1:13" x14ac:dyDescent="0.25">
      <c r="A7" s="6">
        <v>45265</v>
      </c>
      <c r="B7" s="12">
        <f>('Статистика акций за год'!B7-'Статистика акций за год'!B8)/'Статистика акций за год'!B8</f>
        <v>7.2625698324023779E-3</v>
      </c>
      <c r="C7" s="12">
        <f>('Статистика акций за год'!C7-'Статистика акций за год'!C8)/'Статистика акций за год'!C8</f>
        <v>2.8123242297357484E-3</v>
      </c>
      <c r="D7" s="12">
        <f>('Статистика акций за год'!D7-'Статистика акций за год'!D8)/'Статистика акций за год'!D8</f>
        <v>1.8894472361808998E-2</v>
      </c>
      <c r="E7" s="12">
        <f>('Статистика акций за год'!E7-'Статистика акций за год'!E8)/'Статистика акций за год'!E8</f>
        <v>1.6548672566371721E-2</v>
      </c>
      <c r="F7" s="12">
        <f>('Статистика акций за год'!F7-'Статистика акций за год'!F8)/'Статистика акций за год'!F8</f>
        <v>3.1960436964865759E-2</v>
      </c>
      <c r="G7" s="12">
        <f>('Статистика акций за год'!G7-'Статистика акций за год'!G8)/'Статистика акций за год'!G8</f>
        <v>3.0275229357798167E-2</v>
      </c>
      <c r="H7" s="12">
        <f>('Статистика акций за год'!H7-'Статистика акций за год'!H8)/'Статистика акций за год'!H8</f>
        <v>5.4720384846662619E-2</v>
      </c>
      <c r="I7" s="12">
        <f>('Статистика акций за год'!I7-'Статистика акций за год'!I8)/'Статистика акций за год'!I8</f>
        <v>1.4253563390847712E-2</v>
      </c>
      <c r="J7" s="12">
        <f>('Статистика акций за год'!J7-'Статистика акций за год'!J8)/'Статистика акций за год'!J8</f>
        <v>1.8438351771685103E-2</v>
      </c>
      <c r="K7" s="12">
        <f>('Статистика акций за год'!K7-'Статистика акций за год'!K8)/'Статистика акций за год'!K8</f>
        <v>-1.0083659086899507E-2</v>
      </c>
      <c r="L7" s="17">
        <v>0.1246</v>
      </c>
      <c r="M7" s="50">
        <f t="shared" si="0"/>
        <v>3.2177070743677483E-4</v>
      </c>
    </row>
    <row r="8" spans="1:13" x14ac:dyDescent="0.25">
      <c r="A8" s="6">
        <v>45264</v>
      </c>
      <c r="B8" s="12">
        <f>('Статистика акций за год'!B8-'Статистика акций за год'!B9)/'Статистика акций за год'!B9</f>
        <v>-1.9446726924130398E-2</v>
      </c>
      <c r="C8" s="12">
        <f>('Статистика акций за год'!C8-'Статистика акций за год'!C9)/'Статистика акций за год'!C9</f>
        <v>-1.5989176557407433E-2</v>
      </c>
      <c r="D8" s="12">
        <f>('Статистика акций за год'!D8-'Статистика акций за год'!D9)/'Статистика акций за год'!D9</f>
        <v>-5.5966420147911481E-3</v>
      </c>
      <c r="E8" s="12">
        <f>('Статистика акций за год'!E8-'Статистика акций за год'!E9)/'Статистика акций за год'!E9</f>
        <v>-1.7647570199078463E-2</v>
      </c>
      <c r="F8" s="12">
        <f>('Статистика акций за год'!F8-'Статистика акций за год'!F9)/'Статистика акций за год'!F9</f>
        <v>-1.0986604372741715E-2</v>
      </c>
      <c r="G8" s="12">
        <f>('Статистика акций за год'!G8-'Статистика акций за год'!G9)/'Статистика акций за год'!G9</f>
        <v>-5.6481281107985282E-2</v>
      </c>
      <c r="H8" s="12">
        <f>('Статистика акций за год'!H8-'Статистика акций за год'!H9)/'Статистика акций за год'!H9</f>
        <v>-3.7058482918355402E-2</v>
      </c>
      <c r="I8" s="12">
        <f>('Статистика акций за год'!I8-'Статистика акций за год'!I9)/'Статистика акций за год'!I9</f>
        <v>7.5075075075075074E-4</v>
      </c>
      <c r="J8" s="12">
        <f>('Статистика акций за год'!J8-'Статистика акций за год'!J9)/'Статистика акций за год'!J9</f>
        <v>-1.3913043478260797E-2</v>
      </c>
      <c r="K8" s="12">
        <f>('Статистика акций за год'!K8-'Статистика акций за год'!K9)/'Статистика акций за год'!K9</f>
        <v>-1.6698926301950152E-2</v>
      </c>
      <c r="L8" s="17">
        <v>0.12529999999999999</v>
      </c>
      <c r="M8" s="50">
        <f t="shared" si="0"/>
        <v>3.2347605168414617E-4</v>
      </c>
    </row>
    <row r="9" spans="1:13" x14ac:dyDescent="0.25">
      <c r="A9" s="6">
        <v>45261</v>
      </c>
      <c r="B9" s="12">
        <f>('Статистика акций за год'!B9-'Статистика акций за год'!B10)/'Статистика акций за год'!B10</f>
        <v>6.062276109120939E-3</v>
      </c>
      <c r="C9" s="12">
        <f>('Статистика акций за год'!C9-'Статистика акций за год'!C10)/'Статистика акций за год'!C10</f>
        <v>-3.7983213869997928E-3</v>
      </c>
      <c r="D9" s="12">
        <f>('Статистика акций за год'!D9-'Статистика акций за год'!D10)/'Статистика акций за год'!D10</f>
        <v>-1.6899194340734853E-2</v>
      </c>
      <c r="E9" s="12">
        <f>('Статистика акций за год'!E9-'Статистика акций за год'!E10)/'Статистика акций за год'!E10</f>
        <v>-1.5659763819955465E-2</v>
      </c>
      <c r="F9" s="12">
        <f>('Статистика акций за год'!F9-'Статистика акций за год'!F10)/'Статистика акций за год'!F10</f>
        <v>-1.2720720720720622E-2</v>
      </c>
      <c r="G9" s="12">
        <f>('Статистика акций за год'!G9-'Статистика акций за год'!G10)/'Статистика акций за год'!G10</f>
        <v>-5.0934483466830972E-2</v>
      </c>
      <c r="H9" s="12">
        <f>('Статистика акций за год'!H9-'Статистика акций за год'!H10)/'Статистика акций за год'!H10</f>
        <v>-1.0315186246418404E-2</v>
      </c>
      <c r="I9" s="12">
        <f>('Статистика акций за год'!I9-'Статистика акций за год'!I10)/'Статистика акций за год'!I10</f>
        <v>-1.5521064301552107E-2</v>
      </c>
      <c r="J9" s="12">
        <f>('Статистика акций за год'!J9-'Статистика акций за год'!J10)/'Статистика акций за год'!J10</f>
        <v>-9.8622417031934174E-3</v>
      </c>
      <c r="K9" s="12">
        <f>('Статистика акций за год'!K9-'Статистика акций за год'!K10)/'Статистика акций за год'!K10</f>
        <v>-1.7694908565842476E-2</v>
      </c>
      <c r="L9" s="17">
        <v>0.1242</v>
      </c>
      <c r="M9" s="50">
        <f t="shared" si="0"/>
        <v>3.2079574966936697E-4</v>
      </c>
    </row>
    <row r="10" spans="1:13" x14ac:dyDescent="0.25">
      <c r="A10" s="6">
        <v>45260</v>
      </c>
      <c r="B10" s="12">
        <f>('Статистика акций за год'!B10-'Статистика акций за год'!B11)/'Статистика акций за год'!B11</f>
        <v>-1.1710239651416115E-2</v>
      </c>
      <c r="C10" s="12">
        <f>('Статистика акций за год'!C10-'Статистика акций за год'!C11)/'Статистика акций за год'!C11</f>
        <v>3.6771465342895309E-4</v>
      </c>
      <c r="D10" s="12">
        <f>('Статистика акций за год'!D10-'Статистика акций за год'!D11)/'Статистика акций за год'!D11</f>
        <v>-7.9922027290448786E-3</v>
      </c>
      <c r="E10" s="12">
        <f>('Статистика акций за год'!E10-'Статистика акций за год'!E11)/'Статистика акций за год'!E11</f>
        <v>-1.5418316623136053E-2</v>
      </c>
      <c r="F10" s="12">
        <f>('Статистика акций за год'!F10-'Статистика акций за год'!F11)/'Статистика акций за год'!F11</f>
        <v>2.5289017341040051E-3</v>
      </c>
      <c r="G10" s="12">
        <f>('Статистика акций за год'!G10-'Статистика акций за год'!G11)/'Статистика акций за год'!G11</f>
        <v>-9.762050030506406E-3</v>
      </c>
      <c r="H10" s="12">
        <f>('Статистика акций за год'!H10-'Статистика акций за год'!H11)/'Статистика акций за год'!H11</f>
        <v>-1.3009049773755719E-2</v>
      </c>
      <c r="I10" s="12">
        <f>('Статистика акций за год'!I10-'Статистика акций за год'!I11)/'Статистика акций за год'!I11</f>
        <v>-2.7178602243313168E-2</v>
      </c>
      <c r="J10" s="12">
        <f>('Статистика акций за год'!J10-'Статистика акций за год'!J11)/'Статистика акций за год'!J11</f>
        <v>1.565680288083749E-4</v>
      </c>
      <c r="K10" s="12">
        <f>('Статистика акций за год'!K10-'Статистика акций за год'!K11)/'Статистика акций за год'!K11</f>
        <v>-1.1524720525527256E-2</v>
      </c>
      <c r="L10" s="17">
        <v>0.115</v>
      </c>
      <c r="M10" s="50">
        <f t="shared" si="0"/>
        <v>2.9827572169383032E-4</v>
      </c>
    </row>
    <row r="11" spans="1:13" x14ac:dyDescent="0.25">
      <c r="A11" s="6">
        <v>45259</v>
      </c>
      <c r="B11" s="12">
        <f>('Статистика акций за год'!B11-'Статистика акций за год'!B12)/'Статистика акций за год'!B12</f>
        <v>-1.157469717362045E-2</v>
      </c>
      <c r="C11" s="12">
        <f>('Статистика акций за год'!C11-'Статистика акций за год'!C12)/'Статистика акций за год'!C12</f>
        <v>-6.3333536325438184E-3</v>
      </c>
      <c r="D11" s="12">
        <f>('Статистика акций за год'!D11-'Статистика акций за год'!D12)/'Статистика акций за год'!D12</f>
        <v>-1.8181818181818181E-2</v>
      </c>
      <c r="E11" s="12">
        <f>('Статистика акций за год'!E11-'Статистика акций за год'!E12)/'Статистика акций за год'!E12</f>
        <v>6.0179691473132195E-3</v>
      </c>
      <c r="F11" s="12">
        <f>('Статистика акций за год'!F11-'Статистика акций за год'!F12)/'Статистика акций за год'!F12</f>
        <v>-1.1110714158122301E-2</v>
      </c>
      <c r="G11" s="12">
        <f>('Статистика акций за год'!G11-'Статистика акций за год'!G12)/'Статистика акций за год'!G12</f>
        <v>1.5070189925681255E-2</v>
      </c>
      <c r="H11" s="12">
        <f>('Статистика акций за год'!H11-'Статистика акций за год'!H12)/'Статистика акций за год'!H12</f>
        <v>-1.7777777777777715E-2</v>
      </c>
      <c r="I11" s="12">
        <f>('Статистика акций за год'!I11-'Статистика акций за год'!I12)/'Статистика акций за год'!I12</f>
        <v>-1.9873150105708278E-2</v>
      </c>
      <c r="J11" s="12">
        <f>('Статистика акций за год'!J11-'Статистика акций за год'!J12)/'Статистика акций за год'!J12</f>
        <v>-3.8989394884591387E-3</v>
      </c>
      <c r="K11" s="12">
        <f>('Статистика акций за год'!K11-'Статистика акций за год'!K12)/'Статистика акций за год'!K12</f>
        <v>-5.3162740007611938E-4</v>
      </c>
      <c r="L11" s="17">
        <v>0.1143</v>
      </c>
      <c r="M11" s="50">
        <f t="shared" si="0"/>
        <v>2.9655466246669704E-4</v>
      </c>
    </row>
    <row r="12" spans="1:13" x14ac:dyDescent="0.25">
      <c r="A12" s="6">
        <v>45258</v>
      </c>
      <c r="B12" s="12">
        <f>('Статистика акций за год'!B12-'Статистика акций за год'!B13)/'Статистика акций за год'!B13</f>
        <v>-1.7715494447382383E-2</v>
      </c>
      <c r="C12" s="12">
        <f>('Статистика акций за год'!C12-'Статистика акций за год'!C13)/'Статистика акций за год'!C13</f>
        <v>8.7228945266909271E-3</v>
      </c>
      <c r="D12" s="12">
        <f>('Статистика акций за год'!D12-'Статистика акций за год'!D13)/'Статистика акций за год'!D13</f>
        <v>4.0353574173712971E-3</v>
      </c>
      <c r="E12" s="12">
        <f>('Статистика акций за год'!E12-'Статистика акций за год'!E13)/'Статистика акций за год'!E13</f>
        <v>2.0588235294117609E-2</v>
      </c>
      <c r="F12" s="12">
        <f>('Статистика акций за год'!F12-'Статистика акций за год'!F13)/'Статистика акций за год'!F13</f>
        <v>-8.5715297701270121E-3</v>
      </c>
      <c r="G12" s="12">
        <f>('Статистика акций за год'!G12-'Статистика акций за год'!G13)/'Статистика акций за год'!G13</f>
        <v>8.9564674026244538E-3</v>
      </c>
      <c r="H12" s="12">
        <f>('Статистика акций за год'!H12-'Статистика акций за год'!H13)/'Статистика акций за год'!H13</f>
        <v>2.3890784982935086E-2</v>
      </c>
      <c r="I12" s="12">
        <f>('Статистика акций за год'!I12-'Статистика акций за год'!I13)/'Статистика акций за год'!I13</f>
        <v>9.2460881934566148E-3</v>
      </c>
      <c r="J12" s="12">
        <f>('Статистика акций за год'!J12-'Статистика акций за год'!J13)/'Статистика акций за год'!J13</f>
        <v>4.3859649122808091E-3</v>
      </c>
      <c r="K12" s="12">
        <f>('Статистика акций за год'!K12-'Статистика акций за год'!K13)/'Статистика акций за год'!K13</f>
        <v>-3.0387350382050744E-3</v>
      </c>
      <c r="L12" s="17">
        <v>0.11600000000000001</v>
      </c>
      <c r="M12" s="50">
        <f t="shared" si="0"/>
        <v>3.0073250947526553E-4</v>
      </c>
    </row>
    <row r="13" spans="1:13" x14ac:dyDescent="0.25">
      <c r="A13" s="6">
        <v>45257</v>
      </c>
      <c r="B13" s="12">
        <f>('Статистика акций за год'!B13-'Статистика акций за год'!B14)/'Статистика акций за год'!B14</f>
        <v>-1.7917424045702356E-2</v>
      </c>
      <c r="C13" s="12">
        <f>('Статистика акций за год'!C13-'Статистика акций за год'!C14)/'Статистика акций за год'!C14</f>
        <v>-1.1656851435857056E-2</v>
      </c>
      <c r="D13" s="12">
        <f>('Статистика акций за год'!D13-'Статистика акций за год'!D14)/'Статистика акций за год'!D14</f>
        <v>-1.0081795700970264E-2</v>
      </c>
      <c r="E13" s="12">
        <f>('Статистика акций за год'!E13-'Статистика акций за год'!E14)/'Статистика акций за год'!E14</f>
        <v>-1.4684287812041508E-3</v>
      </c>
      <c r="F13" s="12">
        <f>('Статистика акций за год'!F13-'Статистика акций за год'!F14)/'Статистика акций за год'!F14</f>
        <v>-1.5757364476207212E-2</v>
      </c>
      <c r="G13" s="12">
        <f>('Статистика акций за год'!G13-'Статистика акций за год'!G14)/'Статистика акций за год'!G14</f>
        <v>2.5854700854700853E-2</v>
      </c>
      <c r="H13" s="12">
        <f>('Статистика акций за год'!H13-'Статистика акций за год'!H14)/'Статистика акций за год'!H14</f>
        <v>-2.7654867256637166E-2</v>
      </c>
      <c r="I13" s="12">
        <f>('Статистика акций за год'!I13-'Статистика акций за год'!I14)/'Статистика акций за год'!I14</f>
        <v>-3.9671294984414207E-3</v>
      </c>
      <c r="J13" s="12">
        <f>('Статистика акций за год'!J13-'Статистика акций за год'!J14)/'Статистика акций за год'!J14</f>
        <v>-1.481481481481485E-2</v>
      </c>
      <c r="K13" s="12">
        <f>('Статистика акций за год'!K13-'Статистика акций за год'!K14)/'Статистика акций за год'!K14</f>
        <v>-9.7100118094739403E-3</v>
      </c>
      <c r="L13" s="17">
        <v>0.11550000000000001</v>
      </c>
      <c r="M13" s="50">
        <f t="shared" si="0"/>
        <v>2.9950439013148866E-4</v>
      </c>
    </row>
    <row r="14" spans="1:13" x14ac:dyDescent="0.25">
      <c r="A14" s="6">
        <v>45254</v>
      </c>
      <c r="B14" s="12">
        <f>('Статистика акций за год'!B14-'Статистика акций за год'!B15)/'Статистика акций за год'!B15</f>
        <v>-4.1375743470391437E-3</v>
      </c>
      <c r="C14" s="12">
        <f>('Статистика акций за год'!C14-'Статистика акций за год'!C15)/'Статистика акций за год'!C15</f>
        <v>3.6560843336785952E-3</v>
      </c>
      <c r="D14" s="12">
        <f>('Статистика акций за год'!D14-'Статистика акций за год'!D15)/'Статистика акций за год'!D15</f>
        <v>-1.2769953051643107E-2</v>
      </c>
      <c r="E14" s="12">
        <f>('Статистика акций за год'!E14-'Статистика акций за год'!E15)/'Статистика акций за год'!E15</f>
        <v>-3.3574380165288086E-3</v>
      </c>
      <c r="F14" s="12">
        <f>('Статистика акций за год'!F14-'Статистика акций за год'!F15)/'Статистика акций за год'!F15</f>
        <v>2.3061602431951678E-3</v>
      </c>
      <c r="G14" s="12">
        <f>('Статистика акций за год'!G14-'Статистика акций за год'!G15)/'Статистика акций за год'!G15</f>
        <v>8.1861266695389921E-3</v>
      </c>
      <c r="H14" s="12">
        <f>('Статистика акций за год'!H14-'Статистика акций за год'!H15)/'Статистика акций за год'!H15</f>
        <v>-1.6322089227421108E-2</v>
      </c>
      <c r="I14" s="12">
        <f>('Статистика акций за год'!I14-'Статистика акций за год'!I15)/'Статистика акций за год'!I15</f>
        <v>4.1257646891449387E-3</v>
      </c>
      <c r="J14" s="12">
        <f>('Статистика акций за год'!J14-'Статистика акций за год'!J15)/'Статистика акций за год'!J15</f>
        <v>1.0762751520823548E-2</v>
      </c>
      <c r="K14" s="12">
        <f>('Статистика акций за год'!K14-'Статистика акций за год'!K15)/'Статистика акций за год'!K15</f>
        <v>-5.0654064074779461E-3</v>
      </c>
      <c r="L14" s="17">
        <v>0.1154</v>
      </c>
      <c r="M14" s="50">
        <f t="shared" si="0"/>
        <v>2.9925870038716162E-4</v>
      </c>
    </row>
    <row r="15" spans="1:13" x14ac:dyDescent="0.25">
      <c r="A15" s="6">
        <v>45253</v>
      </c>
      <c r="B15" s="12">
        <f>('Статистика акций за год'!B15-'Статистика акций за год'!B16)/'Статистика акций за год'!B16</f>
        <v>-8.7157139195077251E-3</v>
      </c>
      <c r="C15" s="12">
        <f>('Статистика акций за год'!C15-'Статистика акций за год'!C16)/'Статистика акций за год'!C16</f>
        <v>-7.6192779827053934E-3</v>
      </c>
      <c r="D15" s="12">
        <f>('Статистика акций за год'!D15-'Статистика акций за год'!D16)/'Статистика акций за год'!D16</f>
        <v>-1.3523527232308178E-2</v>
      </c>
      <c r="E15" s="12">
        <f>('Статистика акций за год'!E15-'Статистика акций за год'!E16)/'Статистика акций за год'!E16</f>
        <v>-1.6330038676408173E-3</v>
      </c>
      <c r="F15" s="12">
        <f>('Статистика акций за год'!F15-'Статистика акций за год'!F16)/'Статистика акций за год'!F16</f>
        <v>1.0483645512990185E-4</v>
      </c>
      <c r="G15" s="12">
        <f>('Статистика акций за год'!G15-'Статистика акций за год'!G16)/'Статистика акций за год'!G16</f>
        <v>-6.2085206593877115E-3</v>
      </c>
      <c r="H15" s="12">
        <f>('Статистика акций за год'!H15-'Статистика акций за год'!H16)/'Статистика акций за год'!H16</f>
        <v>-2.8027498677948088E-2</v>
      </c>
      <c r="I15" s="12">
        <f>('Статистика акций за год'!I15-'Статистика акций за год'!I16)/'Статистика акций за год'!I16</f>
        <v>-6.6421707179197924E-3</v>
      </c>
      <c r="J15" s="12">
        <f>('Статистика акций за год'!J15-'Статистика акций за год'!J16)/'Статистика акций за год'!J16</f>
        <v>4.6816479400759711E-4</v>
      </c>
      <c r="K15" s="12">
        <f>('Статистика акций за год'!K15-'Статистика акций за год'!K16)/'Статистика акций за год'!K16</f>
        <v>-2.5782592843377494E-3</v>
      </c>
      <c r="L15" s="17">
        <v>0.11509999999999999</v>
      </c>
      <c r="M15" s="50">
        <f t="shared" si="0"/>
        <v>2.9852149933251582E-4</v>
      </c>
    </row>
    <row r="16" spans="1:13" x14ac:dyDescent="0.25">
      <c r="A16" s="6">
        <v>45252</v>
      </c>
      <c r="B16" s="12">
        <f>('Статистика акций за год'!B16-'Статистика акций за год'!B17)/'Статистика акций за год'!B17</f>
        <v>-2.5568908207619897E-3</v>
      </c>
      <c r="C16" s="12">
        <f>('Статистика акций за год'!C16-'Статистика акций за год'!C17)/'Статистика акций за год'!C17</f>
        <v>1.3321223130487367E-3</v>
      </c>
      <c r="D16" s="12">
        <f>('Статистика акций за год'!D16-'Статистика акций за год'!D17)/'Статистика акций за год'!D17</f>
        <v>-1.0811801356056607E-2</v>
      </c>
      <c r="E16" s="12">
        <f>('Статистика акций за год'!E16-'Статистика акций за год'!E17)/'Статистика акций за год'!E17</f>
        <v>-2.8282482002056518E-3</v>
      </c>
      <c r="F16" s="12">
        <f>('Статистика акций за год'!F16-'Статистика акций за год'!F17)/'Статистика акций за год'!F17</f>
        <v>1.1916970189893576E-2</v>
      </c>
      <c r="G16" s="12">
        <f>('Статистика акций за год'!G16-'Статистика акций за год'!G17)/'Статистика акций за год'!G17</f>
        <v>2.1413276231263382E-4</v>
      </c>
      <c r="H16" s="12">
        <f>('Статистика акций за год'!H16-'Статистика акций за год'!H17)/'Статистика акций за год'!H17</f>
        <v>1.058761249338214E-3</v>
      </c>
      <c r="I16" s="12">
        <f>('Статистика акций за год'!I16-'Статистика акций за год'!I17)/'Статистика акций за год'!I17</f>
        <v>-1.1293054771314998E-3</v>
      </c>
      <c r="J16" s="12">
        <f>('Статистика акций за год'!J16-'Статистика акций за год'!J17)/'Статистика акций за год'!J17</f>
        <v>1.0406811731314898E-2</v>
      </c>
      <c r="K16" s="12">
        <f>('Статистика акций за год'!K16-'Статистика акций за год'!K17)/'Статистика акций за год'!K17</f>
        <v>-2.1223330070427198E-3</v>
      </c>
      <c r="L16" s="17">
        <v>0.1164</v>
      </c>
      <c r="M16" s="50">
        <f t="shared" si="0"/>
        <v>3.0171460993266841E-4</v>
      </c>
    </row>
    <row r="17" spans="1:13" x14ac:dyDescent="0.25">
      <c r="A17" s="6">
        <v>45251</v>
      </c>
      <c r="B17" s="12">
        <f>('Статистика акций за год'!B17-'Статистика акций за год'!B18)/'Статистика акций за год'!B18</f>
        <v>1.4000518537723597E-2</v>
      </c>
      <c r="C17" s="12">
        <f>('Статистика акций за год'!C17-'Статистика акций за год'!C18)/'Статистика акций за год'!C18</f>
        <v>-2.175095160413179E-3</v>
      </c>
      <c r="D17" s="12">
        <f>('Статистика акций за год'!D17-'Статистика акций за год'!D18)/'Статистика акций за год'!D18</f>
        <v>1.0742730135210351E-2</v>
      </c>
      <c r="E17" s="12">
        <f>('Статистика акций за год'!E17-'Статистика акций за год'!E18)/'Статистика акций за год'!E18</f>
        <v>3.2674118658641053E-3</v>
      </c>
      <c r="F17" s="12">
        <f>('Статистика акций за год'!F17-'Статистика акций за год'!F18)/'Статистика акций за год'!F18</f>
        <v>-4.241631614294459E-4</v>
      </c>
      <c r="G17" s="12">
        <f>('Статистика акций за год'!G17-'Статистика акций за год'!G18)/'Статистика акций за год'!G18</f>
        <v>4.9910071942446045E-2</v>
      </c>
      <c r="H17" s="12">
        <f>('Статистика акций за год'!H17-'Статистика акций за год'!H18)/'Статистика акций за год'!H18</f>
        <v>2.6539278131634818E-3</v>
      </c>
      <c r="I17" s="12">
        <f>('Статистика акций за год'!I17-'Статистика акций за год'!I18)/'Статистика акций за год'!I18</f>
        <v>1.6793454858619106E-2</v>
      </c>
      <c r="J17" s="12">
        <f>('Статистика акций за год'!J17-'Статистика акций за год'!J18)/'Статистика акций за год'!J18</f>
        <v>3.0549236269093383E-2</v>
      </c>
      <c r="K17" s="12">
        <f>('Статистика акций за год'!K17-'Статистика акций за год'!K18)/'Статистика акций за год'!K18</f>
        <v>1.0398158440626436E-2</v>
      </c>
      <c r="L17" s="17">
        <v>0.1176</v>
      </c>
      <c r="M17" s="50">
        <f t="shared" si="0"/>
        <v>3.0465880718200111E-4</v>
      </c>
    </row>
    <row r="18" spans="1:13" x14ac:dyDescent="0.25">
      <c r="A18" s="6">
        <v>45250</v>
      </c>
      <c r="B18" s="12">
        <f>('Статистика акций за год'!B18-'Статистика акций за год'!B19)/'Статистика акций за год'!B19</f>
        <v>7.7841203943957284E-4</v>
      </c>
      <c r="C18" s="12">
        <f>('Статистика акций за год'!C18-'Статистика акций за год'!C19)/'Статистика акций за год'!C19</f>
        <v>1.2098481640553424E-3</v>
      </c>
      <c r="D18" s="12">
        <f>('Статистика акций за год'!D18-'Статистика акций за год'!D19)/'Статистика акций за год'!D19</f>
        <v>3.3451031406800864E-3</v>
      </c>
      <c r="E18" s="12">
        <f>('Статистика акций за год'!E18-'Статистика акций за год'!E19)/'Статистика акций за год'!E19</f>
        <v>-3.0858906223211976E-3</v>
      </c>
      <c r="F18" s="12">
        <f>('Статистика акций за год'!F18-'Статистика акций за год'!F19)/'Статистика акций за год'!F19</f>
        <v>4.6519886363636442E-3</v>
      </c>
      <c r="G18" s="12">
        <f>('Статистика акций за год'!G18-'Статистика акций за год'!G19)/'Статистика акций за год'!G19</f>
        <v>2.6540503115624278E-2</v>
      </c>
      <c r="H18" s="12">
        <f>('Статистика акций за год'!H18-'Статистика акций за год'!H19)/'Статистика акций за год'!H19</f>
        <v>-7.3761854583772688E-3</v>
      </c>
      <c r="I18" s="12">
        <f>('Статистика акций за год'!I18-'Статистика акций за год'!I19)/'Статистика акций за год'!I19</f>
        <v>-1.4568599717114505E-2</v>
      </c>
      <c r="J18" s="12">
        <f>('Статистика акций за год'!J18-'Статистика акций за год'!J19)/'Статистика акций за год'!J19</f>
        <v>-1.6246953696185659E-4</v>
      </c>
      <c r="K18" s="12">
        <f>('Статистика акций за год'!K18-'Статистика акций за год'!K19)/'Статистика акций за год'!K19</f>
        <v>1.8189109705017453E-2</v>
      </c>
      <c r="L18" s="17">
        <v>0.11899999999999999</v>
      </c>
      <c r="M18" s="50">
        <f t="shared" si="0"/>
        <v>3.0808972202911455E-4</v>
      </c>
    </row>
    <row r="19" spans="1:13" x14ac:dyDescent="0.25">
      <c r="A19" s="6">
        <v>45247</v>
      </c>
      <c r="B19" s="12">
        <f>('Статистика акций за год'!B19-'Статистика акций за год'!B20)/'Статистика акций за год'!B20</f>
        <v>6.7920585161963948E-3</v>
      </c>
      <c r="C19" s="12">
        <f>('Статистика акций за год'!C19-'Статистика акций за год'!C20)/'Статистика акций за год'!C20</f>
        <v>-1.0273144790910534E-3</v>
      </c>
      <c r="D19" s="12">
        <f>('Статистика акций за год'!D19-'Статистика акций за год'!D20)/'Статистика акций за год'!D20</f>
        <v>-7.3787124146836372E-3</v>
      </c>
      <c r="E19" s="12">
        <f>('Статистика акций за год'!E19-'Статистика акций за год'!E20)/'Статистика акций за год'!E20</f>
        <v>1.8419903972064521E-2</v>
      </c>
      <c r="F19" s="12">
        <f>('Статистика акций за год'!F19-'Статистика акций за год'!F20)/'Статистика акций за год'!F20</f>
        <v>6.7929924919557889E-3</v>
      </c>
      <c r="G19" s="12">
        <f>('Статистика акций за год'!G19-'Статистика акций за год'!G20)/'Статистика акций за год'!G20</f>
        <v>-1.343351548269581E-2</v>
      </c>
      <c r="H19" s="12">
        <f>('Статистика акций за год'!H19-'Статистика акций за год'!H20)/'Статистика акций за год'!H20</f>
        <v>3.1712473572939894E-3</v>
      </c>
      <c r="I19" s="12">
        <f>('Статистика акций за год'!I19-'Статистика акций за год'!I20)/'Статистика акций за год'!I20</f>
        <v>7.5530853641156536E-3</v>
      </c>
      <c r="J19" s="12">
        <f>('Статистика акций за год'!J19-'Статистика акций за год'!J20)/'Статистика акций за год'!J20</f>
        <v>2.2255439295798003E-2</v>
      </c>
      <c r="K19" s="12">
        <f>('Статистика акций за год'!K19-'Статистика акций за год'!K20)/'Статистика акций за год'!K20</f>
        <v>-6.3052372434070584E-3</v>
      </c>
      <c r="L19" s="17">
        <v>0.11899999999999999</v>
      </c>
      <c r="M19" s="50">
        <f t="shared" si="0"/>
        <v>3.0808972202911455E-4</v>
      </c>
    </row>
    <row r="20" spans="1:13" x14ac:dyDescent="0.25">
      <c r="A20" s="6">
        <v>45246</v>
      </c>
      <c r="B20" s="12">
        <f>('Статистика акций за год'!B20-'Статистика акций за год'!B21)/'Статистика акций за год'!B21</f>
        <v>-1.0341261633919302E-2</v>
      </c>
      <c r="C20" s="12">
        <f>('Статистика акций за год'!C20-'Статистика акций за год'!C21)/'Статистика акций за год'!C21</f>
        <v>-5.8873002523129768E-3</v>
      </c>
      <c r="D20" s="12">
        <f>('Статистика акций за год'!D20-'Статистика акций за год'!D21)/'Статистика акций за год'!D21</f>
        <v>-2.1656740660530589E-2</v>
      </c>
      <c r="E20" s="12">
        <f>('Статистика акций за год'!E20-'Статистика акций за год'!E21)/'Статистика акций за год'!E21</f>
        <v>-2.0940170940170939E-2</v>
      </c>
      <c r="F20" s="12">
        <f>('Статистика акций за год'!F20-'Статистика акций за год'!F21)/'Статистика акций за год'!F21</f>
        <v>-1.127646788504365E-2</v>
      </c>
      <c r="G20" s="12">
        <f>('Статистика акций за год'!G20-'Статистика акций за год'!G21)/'Статистика акций за год'!G21</f>
        <v>-1.5912707433507615E-3</v>
      </c>
      <c r="H20" s="12">
        <f>('Статистика акций за год'!H20-'Статистика акций за год'!H21)/'Статистика акций за год'!H21</f>
        <v>-1.6120644825793149E-2</v>
      </c>
      <c r="I20" s="12">
        <f>('Статистика акций за год'!I20-'Статистика акций за год'!I21)/'Статистика акций за год'!I21</f>
        <v>-1.1133032694475728E-2</v>
      </c>
      <c r="J20" s="12">
        <f>('Статистика акций за год'!J20-'Статистика акций за год'!J21)/'Статистика акций за год'!J21</f>
        <v>-1.5854854527623297E-2</v>
      </c>
      <c r="K20" s="12">
        <f>('Статистика акций за год'!K20-'Статистика акций за год'!K21)/'Статистика акций за год'!K21</f>
        <v>-4.4258710678515851E-3</v>
      </c>
      <c r="L20" s="17">
        <v>0.1205</v>
      </c>
      <c r="M20" s="50">
        <f t="shared" si="0"/>
        <v>3.1176095518081759E-4</v>
      </c>
    </row>
    <row r="21" spans="1:13" x14ac:dyDescent="0.25">
      <c r="A21" s="6">
        <v>45245</v>
      </c>
      <c r="B21" s="12">
        <f>('Статистика акций за год'!B21-'Статистика акций за год'!B22)/'Статистика акций за год'!B22</f>
        <v>7.8165711307972164E-3</v>
      </c>
      <c r="C21" s="12">
        <f>('Статистика акций за год'!C21-'Статистика акций за год'!C22)/'Статистика акций за год'!C22</f>
        <v>3.6175087423127592E-3</v>
      </c>
      <c r="D21" s="12">
        <f>('Статистика акций за год'!D21-'Статистика акций за год'!D22)/'Статистика акций за год'!D22</f>
        <v>1.4835164835164876E-2</v>
      </c>
      <c r="E21" s="12">
        <f>('Статистика акций за год'!E21-'Статистика акций за год'!E22)/'Статистика акций за год'!E22</f>
        <v>-1.0654490106544824E-2</v>
      </c>
      <c r="F21" s="12">
        <f>('Статистика акций за год'!F21-'Статистика акций за год'!F22)/'Статистика акций за год'!F22</f>
        <v>7.1919393313631995E-3</v>
      </c>
      <c r="G21" s="12">
        <f>('Статистика акций за год'!G21-'Статистика акций за год'!G22)/'Статистика акций за год'!G22</f>
        <v>8.0201649862511465E-3</v>
      </c>
      <c r="H21" s="12">
        <f>('Статистика акций за год'!H21-'Статистика акций за год'!H22)/'Статистика акций за год'!H22</f>
        <v>2.8892455858748022E-2</v>
      </c>
      <c r="I21" s="12">
        <f>('Статистика акций за год'!I21-'Статистика акций за год'!I22)/'Статистика акций за год'!I22</f>
        <v>-2.2497187851518879E-3</v>
      </c>
      <c r="J21" s="12">
        <f>('Статистика акций за год'!J21-'Статистика акций за год'!J22)/'Статистика акций за год'!J22</f>
        <v>1.8012117242507107E-3</v>
      </c>
      <c r="K21" s="12">
        <f>('Статистика акций за год'!K21-'Статистика акций за год'!K22)/'Статистика акций за год'!K22</f>
        <v>1.5461471659937135E-2</v>
      </c>
      <c r="L21" s="17">
        <v>0.1203</v>
      </c>
      <c r="M21" s="50">
        <f t="shared" si="0"/>
        <v>3.1127174070322283E-4</v>
      </c>
    </row>
    <row r="22" spans="1:13" x14ac:dyDescent="0.25">
      <c r="A22" s="6">
        <v>45244</v>
      </c>
      <c r="B22" s="12">
        <f>('Статистика акций за год'!B22-'Статистика акций за год'!B23)/'Статистика акций за год'!B23</f>
        <v>-1.0824742268041098E-2</v>
      </c>
      <c r="C22" s="12">
        <f>('Статистика акций за год'!C22-'Статистика акций за год'!C23)/'Статистика акций за год'!C23</f>
        <v>-1.1855823652070186E-2</v>
      </c>
      <c r="D22" s="12">
        <f>('Статистика акций за год'!D22-'Статистика акций за год'!D23)/'Статистика акций за год'!D23</f>
        <v>-2.0276332316526029E-2</v>
      </c>
      <c r="E22" s="12">
        <f>('Статистика акций за год'!E22-'Статистика акций за год'!E23)/'Статистика акций за год'!E23</f>
        <v>-1.1699816145746281E-2</v>
      </c>
      <c r="F22" s="12">
        <f>('Статистика акций за год'!F22-'Статистика акций за год'!F23)/'Статистика акций за год'!F23</f>
        <v>-1.0916646124590704E-2</v>
      </c>
      <c r="G22" s="12">
        <f>('Статистика акций за год'!G22-'Статистика акций за год'!G23)/'Статистика акций за год'!G23</f>
        <v>-2.7195720017833259E-2</v>
      </c>
      <c r="H22" s="12">
        <f>('Статистика акций за год'!H22-'Статистика акций за год'!H23)/'Статистика акций за год'!H23</f>
        <v>-4.0061633281972181E-2</v>
      </c>
      <c r="I22" s="12">
        <f>('Статистика акций за год'!I22-'Статистика акций за год'!I23)/'Статистика акций за год'!I23</f>
        <v>-9.6086895975490555E-3</v>
      </c>
      <c r="J22" s="12">
        <f>('Статистика акций за год'!J22-'Статистика акций за год'!J23)/'Статистика акций за год'!J23</f>
        <v>-9.0864838552651463E-3</v>
      </c>
      <c r="K22" s="12">
        <f>('Статистика акций за год'!K22-'Статистика акций за год'!K23)/'Статистика акций за год'!K23</f>
        <v>-4.1165889585928099E-4</v>
      </c>
      <c r="L22" s="17">
        <v>0.1212</v>
      </c>
      <c r="M22" s="50">
        <f t="shared" si="0"/>
        <v>3.1347252035063278E-4</v>
      </c>
    </row>
    <row r="23" spans="1:13" x14ac:dyDescent="0.25">
      <c r="A23" s="6">
        <v>45243</v>
      </c>
      <c r="B23" s="12">
        <f>('Статистика акций за год'!B23-'Статистика акций за год'!B24)/'Статистика акций за год'!B24</f>
        <v>-9.9515182444501298E-3</v>
      </c>
      <c r="C23" s="12">
        <f>('Статистика акций за год'!C23-'Статистика акций за год'!C24)/'Статистика акций за год'!C24</f>
        <v>-2.3774145616642238E-3</v>
      </c>
      <c r="D23" s="12">
        <f>('Статистика акций за год'!D23-'Статистика акций за год'!D24)/'Статистика акций за год'!D24</f>
        <v>1.4010189228529715E-2</v>
      </c>
      <c r="E23" s="12">
        <f>('Статистика акций за год'!E23-'Статистика акций за год'!E24)/'Статистика акций за год'!E24</f>
        <v>0</v>
      </c>
      <c r="F23" s="12">
        <f>('Статистика акций за год'!F23-'Статистика акций за год'!F24)/'Статистика акций за год'!F24</f>
        <v>1.3490845497698096E-2</v>
      </c>
      <c r="G23" s="12">
        <f>('Статистика акций за год'!G23-'Статистика акций за год'!G24)/'Статистика акций за год'!G24</f>
        <v>-1.7520805957074025E-2</v>
      </c>
      <c r="H23" s="12">
        <f>('Статистика акций за год'!H23-'Статистика акций за год'!H24)/'Статистика акций за год'!H24</f>
        <v>-5.1098620337250893E-3</v>
      </c>
      <c r="I23" s="12">
        <f>('Статистика акций за год'!I23-'Статистика акций за год'!I24)/'Статистика акций за год'!I24</f>
        <v>-5.5671537926232049E-4</v>
      </c>
      <c r="J23" s="12">
        <f>('Статистика акций за год'!J23-'Статистика акций за год'!J24)/'Статистика акций за год'!J24</f>
        <v>-5.9677419354839441E-3</v>
      </c>
      <c r="K23" s="12">
        <f>('Статистика акций за год'!K23-'Статистика акций за год'!K24)/'Статистика акций за год'!K24</f>
        <v>9.0208047388571928E-3</v>
      </c>
      <c r="L23" s="17">
        <v>0.1193</v>
      </c>
      <c r="M23" s="50">
        <f t="shared" si="0"/>
        <v>3.0882436112089628E-4</v>
      </c>
    </row>
    <row r="24" spans="1:13" x14ac:dyDescent="0.25">
      <c r="A24" s="6">
        <v>45240</v>
      </c>
      <c r="B24" s="12">
        <f>('Статистика акций за год'!B24-'Статистика акций за год'!B25)/'Статистика акций за год'!B25</f>
        <v>-5.0774308200051497E-3</v>
      </c>
      <c r="C24" s="12">
        <f>('Статистика акций за год'!C24-'Статистика акций за год'!C25)/'Статистика акций за год'!C25</f>
        <v>5.3520456707899266E-4</v>
      </c>
      <c r="D24" s="12">
        <f>('Статистика акций за год'!D24-'Статистика акций за год'!D25)/'Статистика акций за год'!D25</f>
        <v>-5.9685295713509763E-3</v>
      </c>
      <c r="E24" s="12">
        <f>('Статистика акций за год'!E24-'Статистика акций за год'!E25)/'Статистика акций за год'!E25</f>
        <v>2.6067569885096779E-2</v>
      </c>
      <c r="F24" s="12">
        <f>('Статистика акций за год'!F24-'Статистика акций за год'!F25)/'Статистика акций за год'!F25</f>
        <v>1.2795951563347265E-2</v>
      </c>
      <c r="G24" s="12">
        <f>('Статистика акций за год'!G24-'Статистика акций за год'!G25)/'Статистика акций за год'!G25</f>
        <v>7.6379066478076379E-2</v>
      </c>
      <c r="H24" s="12">
        <f>('Статистика акций за год'!H24-'Статистика акций за год'!H25)/'Статистика акций за год'!H25</f>
        <v>2.0481310803890282E-3</v>
      </c>
      <c r="I24" s="12">
        <f>('Статистика акций за год'!I24-'Статистика акций за год'!I25)/'Статистика акций за год'!I25</f>
        <v>-1.4538472088876727E-2</v>
      </c>
      <c r="J24" s="12">
        <f>('Статистика акций за год'!J24-'Статистика акций за год'!J25)/'Статистика акций за год'!J25</f>
        <v>7.8023407022105888E-3</v>
      </c>
      <c r="K24" s="12">
        <f>('Статистика акций за год'!K24-'Статистика акций за год'!K25)/'Статистика акций за год'!K25</f>
        <v>-1.2896011254699257E-3</v>
      </c>
      <c r="L24" s="17">
        <v>0.11990000000000001</v>
      </c>
      <c r="M24" s="50">
        <f t="shared" si="0"/>
        <v>3.1029305040219946E-4</v>
      </c>
    </row>
    <row r="25" spans="1:13" x14ac:dyDescent="0.25">
      <c r="A25" s="6">
        <v>45239</v>
      </c>
      <c r="B25" s="12">
        <f>('Статистика акций за год'!B25-'Статистика акций за год'!B26)/'Статистика акций за год'!B26</f>
        <v>-1.3523666416228378E-2</v>
      </c>
      <c r="C25" s="12">
        <f>('Статистика акций за год'!C25-'Статистика акций за год'!C26)/'Статистика акций за год'!C26</f>
        <v>-1.9585732090926017E-3</v>
      </c>
      <c r="D25" s="12">
        <f>('Статистика акций за год'!D25-'Статистика акций за год'!D26)/'Статистика акций за год'!D26</f>
        <v>7.6544559868779501E-3</v>
      </c>
      <c r="E25" s="12">
        <f>('Статистика акций за год'!E25-'Статистика акций за год'!E26)/'Статистика акций за год'!E26</f>
        <v>2.4929081062495411E-3</v>
      </c>
      <c r="F25" s="12">
        <f>('Статистика акций за год'!F25-'Статистика акций за год'!F26)/'Статистика акций за год'!F26</f>
        <v>-5.392773683264426E-3</v>
      </c>
      <c r="G25" s="12">
        <f>('Статистика акций за год'!G25-'Статистика акций за год'!G26)/'Статистика акций за год'!G26</f>
        <v>1.2652184292193841E-2</v>
      </c>
      <c r="H25" s="12">
        <f>('Статистика акций за год'!H25-'Статистика акций за год'!H26)/'Статистика акций за год'!H26</f>
        <v>5.6642636457261732E-3</v>
      </c>
      <c r="I25" s="12">
        <f>('Статистика акций за год'!I25-'Статистика акций за год'!I26)/'Статистика акций за год'!I26</f>
        <v>8.2361015785864479E-4</v>
      </c>
      <c r="J25" s="12">
        <f>('Статистика акций за год'!J25-'Статистика акций за год'!J26)/'Статистика акций за год'!J26</f>
        <v>1.1391375101709447E-3</v>
      </c>
      <c r="K25" s="12">
        <f>('Статистика акций за год'!K25-'Статистика акций за год'!K26)/'Статистика акций за год'!K26</f>
        <v>-3.7375452593371985E-3</v>
      </c>
      <c r="L25" s="17">
        <v>0.1215</v>
      </c>
      <c r="M25" s="50">
        <f t="shared" si="0"/>
        <v>3.1420572208329389E-4</v>
      </c>
    </row>
    <row r="26" spans="1:13" x14ac:dyDescent="0.25">
      <c r="A26" s="6">
        <v>45238</v>
      </c>
      <c r="B26" s="12">
        <f>('Статистика акций за год'!B26-'Статистика акций за год'!B27)/'Статистика акций за год'!B27</f>
        <v>-4.2394014962593941E-3</v>
      </c>
      <c r="C26" s="12">
        <f>('Статистика акций за год'!C26-'Статистика акций за год'!C27)/'Статистика акций за год'!C27</f>
        <v>-2.373464665044327E-4</v>
      </c>
      <c r="D26" s="12">
        <f>('Статистика акций за год'!D26-'Статистика акций за год'!D27)/'Статистика акций за год'!D27</f>
        <v>6.2350999449845793E-3</v>
      </c>
      <c r="E26" s="12">
        <f>('Статистика акций за год'!E26-'Статистика акций за год'!E27)/'Статистика акций за год'!E27</f>
        <v>-3.9386933812827606E-3</v>
      </c>
      <c r="F26" s="12">
        <f>('Статистика акций за год'!F26-'Статистика акций за год'!F27)/'Статистика акций за год'!F27</f>
        <v>1.7708828802458654E-2</v>
      </c>
      <c r="G26" s="12">
        <f>('Статистика акций за год'!G26-'Статистика акций за год'!G27)/'Статистика акций за год'!G27</f>
        <v>-4.5152091254752847E-3</v>
      </c>
      <c r="H26" s="12">
        <f>('Статистика акций за год'!H26-'Статистика акций за год'!H27)/'Статистика акций за год'!H27</f>
        <v>-3.0800821355237303E-3</v>
      </c>
      <c r="I26" s="12">
        <f>('Статистика акций за год'!I26-'Статистика акций за год'!I27)/'Статистика акций за год'!I27</f>
        <v>-1.0190217391304348E-2</v>
      </c>
      <c r="J26" s="12">
        <f>('Статистика акций за год'!J26-'Статистика акций за год'!J27)/'Статистика акций за год'!J27</f>
        <v>5.3992146596857889E-3</v>
      </c>
      <c r="K26" s="12">
        <f>('Статистика акций за год'!K26-'Статистика акций за год'!K27)/'Статистика акций за год'!K27</f>
        <v>5.2655346820808593E-3</v>
      </c>
      <c r="L26" s="17">
        <v>0.123</v>
      </c>
      <c r="M26" s="50">
        <f t="shared" si="0"/>
        <v>3.1786879932682588E-4</v>
      </c>
    </row>
    <row r="27" spans="1:13" x14ac:dyDescent="0.25">
      <c r="A27" s="6">
        <v>45237</v>
      </c>
      <c r="B27" s="12">
        <f>('Статистика акций за год'!B27-'Статистика акций за год'!B28)/'Статистика акций за год'!B28</f>
        <v>1.1604439959636751E-2</v>
      </c>
      <c r="C27" s="12">
        <f>('Статистика акций за год'!C27-'Статистика акций за год'!C28)/'Статистика акций за год'!C28</f>
        <v>-5.6053811659192154E-3</v>
      </c>
      <c r="D27" s="12">
        <f>('Статистика акций за год'!D27-'Статистика акций за год'!D28)/'Статистика акций за год'!D28</f>
        <v>3.1272994849152534E-3</v>
      </c>
      <c r="E27" s="12">
        <f>('Статистика акций за год'!E27-'Статистика акций за год'!E28)/'Статистика акций за год'!E28</f>
        <v>-8.4896850326852871E-3</v>
      </c>
      <c r="F27" s="12">
        <f>('Статистика акций за год'!F27-'Статистика акций за год'!F28)/'Статистика акций за год'!F28</f>
        <v>-4.0231146221934622E-4</v>
      </c>
      <c r="G27" s="12">
        <f>('Статистика акций за год'!G27-'Статистика акций за год'!G28)/'Статистика акций за год'!G28</f>
        <v>3.8167938931297708E-3</v>
      </c>
      <c r="H27" s="12">
        <f>('Статистика акций за год'!H27-'Статистика акций за год'!H28)/'Статистика акций за год'!H28</f>
        <v>1.3000520020800831E-2</v>
      </c>
      <c r="I27" s="12">
        <f>('Статистика акций за год'!I27-'Статистика акций за год'!I28)/'Статистика акций за год'!I28</f>
        <v>1.1127902184366016E-2</v>
      </c>
      <c r="J27" s="12">
        <f>('Статистика акций за год'!J27-'Статистика акций за год'!J28)/'Статистика акций за год'!J28</f>
        <v>2.4602263408233555E-3</v>
      </c>
      <c r="K27" s="12">
        <f>('Статистика акций за год'!K27-'Статистика акций за год'!K28)/'Статистика акций за год'!K28</f>
        <v>3.0984435304137353E-3</v>
      </c>
      <c r="L27" s="17">
        <v>0.12509999999999999</v>
      </c>
      <c r="M27" s="50">
        <f t="shared" si="0"/>
        <v>3.2298891844506628E-4</v>
      </c>
    </row>
    <row r="28" spans="1:13" x14ac:dyDescent="0.25">
      <c r="A28" s="6">
        <v>45236</v>
      </c>
      <c r="B28" s="12">
        <f>('Статистика акций за год'!B28-'Статистика акций за год'!B29)/'Статистика акций за год'!B29</f>
        <v>1.7192712342827862E-2</v>
      </c>
      <c r="C28" s="12">
        <f>('Статистика акций за год'!C28-'Статистика акций за год'!C29)/'Статистика акций за год'!C29</f>
        <v>1.7140492936934338E-3</v>
      </c>
      <c r="D28" s="12">
        <f>('Статистика акций за год'!D28-'Статистика акций за год'!D29)/'Статистика акций за год'!D29</f>
        <v>1.6583747927031089E-3</v>
      </c>
      <c r="E28" s="12">
        <f>('Статистика акций за год'!E28-'Статистика акций за год'!E29)/'Статистика акций за год'!E29</f>
        <v>1.2811693895098961E-2</v>
      </c>
      <c r="F28" s="12">
        <f>('Статистика акций за год'!F28-'Статистика акций за год'!F29)/'Статистика акций за год'!F29</f>
        <v>1.8172339316302952E-2</v>
      </c>
      <c r="G28" s="12">
        <f>('Статистика акций за год'!G28-'Статистика акций за год'!G29)/'Статистика акций за год'!G29</f>
        <v>3.4040453872718306E-2</v>
      </c>
      <c r="H28" s="12">
        <f>('Статистика акций за год'!H28-'Статистика акций за год'!H29)/'Статистика акций за год'!H29</f>
        <v>4.7021943573668009E-3</v>
      </c>
      <c r="I28" s="12">
        <f>('Статистика акций за год'!I28-'Статистика акций за год'!I29)/'Статистика акций за год'!I29</f>
        <v>1.4353400222965376E-2</v>
      </c>
      <c r="J28" s="12">
        <f>('Статистика акций за год'!J28-'Статистика акций за год'!J29)/'Статистика акций за год'!J29</f>
        <v>1.3295662290177828E-2</v>
      </c>
      <c r="K28" s="12">
        <f>('Статистика акций за год'!K28-'Статистика акций за год'!K29)/'Статистика акций за год'!K29</f>
        <v>9.1795124983999523E-3</v>
      </c>
      <c r="L28" s="17">
        <v>0.12139999999999999</v>
      </c>
      <c r="M28" s="50">
        <f t="shared" si="0"/>
        <v>3.1396134324057634E-4</v>
      </c>
    </row>
    <row r="29" spans="1:13" x14ac:dyDescent="0.25">
      <c r="A29" s="6">
        <v>45233</v>
      </c>
      <c r="B29" s="12">
        <f>('Статистика акций за год'!B29-'Статистика акций за год'!B30)/'Статистика акций за год'!B30</f>
        <v>-7.1337579617834681E-3</v>
      </c>
      <c r="C29" s="12">
        <f>('Статистика акций за год'!C29-'Статистика акций за год'!C30)/'Статистика акций за год'!C30</f>
        <v>6.0054703294089122E-3</v>
      </c>
      <c r="D29" s="12">
        <f>('Статистика акций за год'!D29-'Статистика акций за год'!D30)/'Статистика акций за год'!D30</f>
        <v>4.4419766796226006E-3</v>
      </c>
      <c r="E29" s="12">
        <f>('Статистика акций за год'!E29-'Статистика акций за год'!E30)/'Статистика акций за год'!E30</f>
        <v>-8.1023454157782508E-3</v>
      </c>
      <c r="F29" s="12">
        <f>('Статистика акций за год'!F29-'Статистика акций за год'!F30)/'Статистика акций за год'!F30</f>
        <v>-1.9326544265218977E-3</v>
      </c>
      <c r="G29" s="12">
        <f>('Статистика акций за год'!G29-'Статистика акций за год'!G30)/'Статистика акций за год'!G30</f>
        <v>-7.3457394711067582E-3</v>
      </c>
      <c r="H29" s="12">
        <f>('Статистика акций за год'!H29-'Статистика акций за год'!H30)/'Статистика акций за год'!H30</f>
        <v>1.0460251046025997E-3</v>
      </c>
      <c r="I29" s="12">
        <f>('Статистика акций за год'!I29-'Статистика акций за год'!I30)/'Статистика акций за год'!I30</f>
        <v>-2.3634088697343696E-3</v>
      </c>
      <c r="J29" s="12">
        <f>('Статистика акций за год'!J29-'Статистика акций за год'!J30)/'Статистика акций за год'!J30</f>
        <v>-1.6592002654720424E-3</v>
      </c>
      <c r="K29" s="12">
        <f>('Статистика акций за год'!K29-'Статистика акций за год'!K30)/'Статистика акций за год'!K30</f>
        <v>1.2891037395121476E-2</v>
      </c>
      <c r="L29" s="17">
        <v>0.1249</v>
      </c>
      <c r="M29" s="50">
        <f t="shared" si="0"/>
        <v>3.2250169884173729E-4</v>
      </c>
    </row>
    <row r="30" spans="1:13" x14ac:dyDescent="0.25">
      <c r="A30" s="6">
        <v>45232</v>
      </c>
      <c r="B30" s="12">
        <f>('Статистика акций за год'!B30-'Статистика акций за год'!B31)/'Статистика акций за год'!B31</f>
        <v>0</v>
      </c>
      <c r="C30" s="12">
        <f>('Статистика акций за год'!C30-'Статистика акций за год'!C31)/'Статистика акций за год'!C31</f>
        <v>-1.1171213546566354E-2</v>
      </c>
      <c r="D30" s="12">
        <f>('Статистика акций за год'!D30-'Статистика акций за год'!D31)/'Статистика акций за год'!D31</f>
        <v>-1.1525795828759729E-2</v>
      </c>
      <c r="E30" s="12">
        <f>('Статистика акций за год'!E30-'Статистика акций за год'!E31)/'Статистика акций за год'!E31</f>
        <v>1.1647972389991372E-2</v>
      </c>
      <c r="F30" s="12">
        <f>('Статистика акций за год'!F30-'Статистика акций за год'!F31)/'Статистика акций за год'!F31</f>
        <v>-2.2990210619994234E-3</v>
      </c>
      <c r="G30" s="12">
        <f>('Статистика акций за год'!G30-'Статистика акций за год'!G31)/'Статистика акций за год'!G31</f>
        <v>-3.4163006344558322E-3</v>
      </c>
      <c r="H30" s="12">
        <f>('Статистика акций за год'!H30-'Статистика акций за год'!H31)/'Статистика акций за год'!H31</f>
        <v>5.2328623757192218E-4</v>
      </c>
      <c r="I30" s="12">
        <f>('Статистика акций за год'!I30-'Статистика акций за год'!I31)/'Статистика акций за год'!I31</f>
        <v>-7.7252034763415963E-3</v>
      </c>
      <c r="J30" s="12">
        <f>('Статистика акций за год'!J30-'Статистика акций за год'!J31)/'Статистика акций за год'!J31</f>
        <v>-5.9376546264224136E-3</v>
      </c>
      <c r="K30" s="12">
        <f>('Статистика акций за год'!K30-'Статистика акций за год'!K31)/'Статистика акций за год'!K31</f>
        <v>-7.9013616067328193E-3</v>
      </c>
      <c r="L30" s="17">
        <v>0.1275</v>
      </c>
      <c r="M30" s="50">
        <f t="shared" si="0"/>
        <v>3.2882882603346708E-4</v>
      </c>
    </row>
    <row r="31" spans="1:13" x14ac:dyDescent="0.25">
      <c r="A31" s="6">
        <v>45231</v>
      </c>
      <c r="B31" s="12">
        <f>('Статистика акций за год'!B31-'Статистика акций за год'!B32)/'Статистика акций за год'!B32</f>
        <v>-2.5412960609911416E-3</v>
      </c>
      <c r="C31" s="12">
        <f>('Статистика акций за год'!C31-'Статистика акций за год'!C32)/'Статистика акций за год'!C32</f>
        <v>1.3104598522754451E-2</v>
      </c>
      <c r="D31" s="12">
        <f>('Статистика акций за год'!D31-'Статистика акций за год'!D32)/'Статистика акций за год'!D32</f>
        <v>5.7037718491260766E-3</v>
      </c>
      <c r="E31" s="12">
        <f>('Статистика акций за год'!E31-'Статистика акций за год'!E32)/'Статистика акций за год'!E32</f>
        <v>8.6154381690019075E-3</v>
      </c>
      <c r="F31" s="12">
        <f>('Статистика акций за год'!F31-'Статистика акций за год'!F32)/'Статистика акций за год'!F32</f>
        <v>4.956213899757719E-3</v>
      </c>
      <c r="G31" s="12">
        <f>('Статистика акций за год'!G31-'Статистика акций за год'!G32)/'Статистика акций за год'!G32</f>
        <v>1.1102886750555145E-2</v>
      </c>
      <c r="H31" s="12">
        <f>('Статистика акций за год'!H31-'Статистика акций за год'!H32)/'Статистика акций за год'!H32</f>
        <v>4.7318611987382008E-3</v>
      </c>
      <c r="I31" s="12">
        <f>('Статистика акций за год'!I31-'Статистика акций за год'!I32)/'Статистика акций за год'!I32</f>
        <v>2.4593639575971698E-2</v>
      </c>
      <c r="J31" s="12">
        <f>('Статистика акций за год'!J31-'Статистика акций за год'!J32)/'Статистика акций за год'!J32</f>
        <v>-2.1395655036209153E-3</v>
      </c>
      <c r="K31" s="12">
        <f>('Статистика акций за год'!K31-'Статистика акций за год'!K32)/'Статистика акций за год'!K32</f>
        <v>7.9082861058635805E-3</v>
      </c>
      <c r="L31" s="17">
        <v>0.12909999999999999</v>
      </c>
      <c r="M31" s="50">
        <f t="shared" si="0"/>
        <v>3.3271521470523702E-4</v>
      </c>
    </row>
    <row r="32" spans="1:13" x14ac:dyDescent="0.25">
      <c r="A32" s="6">
        <v>45230</v>
      </c>
      <c r="B32" s="12">
        <f>('Статистика акций за год'!B32-'Статистика акций за год'!B33)/'Статистика акций за год'!B33</f>
        <v>-1.3537227375282004E-2</v>
      </c>
      <c r="C32" s="12">
        <f>('Статистика акций за год'!C32-'Статистика акций за год'!C33)/'Статистика акций за год'!C33</f>
        <v>4.3072505384063103E-3</v>
      </c>
      <c r="D32" s="12">
        <f>('Статистика акций за год'!D32-'Статистика акций за год'!D33)/'Статистика акций за год'!D33</f>
        <v>-2.1425999279798304E-2</v>
      </c>
      <c r="E32" s="12">
        <f>('Статистика акций за год'!E32-'Статистика акций за год'!E33)/'Статистика акций за год'!E33</f>
        <v>-2.1542915531335301E-2</v>
      </c>
      <c r="F32" s="12">
        <f>('Статистика акций за год'!F32-'Статистика акций за год'!F33)/'Статистика акций за год'!F33</f>
        <v>-5.7060283819332456E-3</v>
      </c>
      <c r="G32" s="12">
        <f>('Статистика акций за год'!G32-'Статистика акций за год'!G33)/'Статистика акций за год'!G33</f>
        <v>-1.9593613933236574E-2</v>
      </c>
      <c r="H32" s="12">
        <f>('Статистика акций за год'!H32-'Статистика акций за год'!H33)/'Статистика акций за год'!H33</f>
        <v>-1.6546018614271029E-2</v>
      </c>
      <c r="I32" s="12">
        <f>('Статистика акций за год'!I32-'Статистика акций за год'!I33)/'Статистика акций за год'!I33</f>
        <v>-2.0083102493074791E-2</v>
      </c>
      <c r="J32" s="12">
        <f>('Статистика акций за год'!J32-'Статистика акций за год'!J33)/'Статистика акций за год'!J33</f>
        <v>-2.1893110109465586E-2</v>
      </c>
      <c r="K32" s="12">
        <f>('Статистика акций за год'!K32-'Статистика акций за год'!K33)/'Статистика акций за год'!K33</f>
        <v>-1.3240494531099887E-2</v>
      </c>
      <c r="L32" s="17">
        <v>0.1295</v>
      </c>
      <c r="M32" s="50">
        <f t="shared" si="0"/>
        <v>3.336859537237391E-4</v>
      </c>
    </row>
    <row r="33" spans="1:13" x14ac:dyDescent="0.25">
      <c r="A33" s="6">
        <v>45229</v>
      </c>
      <c r="B33" s="12">
        <f>('Статистика акций за год'!B33-'Статистика акций за год'!B34)/'Статистика акций за год'!B34</f>
        <v>-9.1902632886238806E-3</v>
      </c>
      <c r="C33" s="12">
        <f>('Статистика акций за год'!C33-'Статистика акций за год'!C34)/'Статистика акций за год'!C34</f>
        <v>-5.9787157718518662E-4</v>
      </c>
      <c r="D33" s="12">
        <f>('Статистика акций за год'!D33-'Статистика акций за год'!D34)/'Статистика акций за год'!D34</f>
        <v>-1.577175261385784E-2</v>
      </c>
      <c r="E33" s="12">
        <f>('Статистика акций за год'!E33-'Статистика акций за год'!E34)/'Статистика акций за год'!E34</f>
        <v>-1.244534140598718E-2</v>
      </c>
      <c r="F33" s="12">
        <f>('Статистика акций за год'!F33-'Статистика акций за год'!F34)/'Статистика акций за год'!F34</f>
        <v>7.0448646644418887E-4</v>
      </c>
      <c r="G33" s="12">
        <f>('Статистика акций за год'!G33-'Статистика акций за год'!G34)/'Статистика акций за год'!G34</f>
        <v>2.911208151382824E-3</v>
      </c>
      <c r="H33" s="12">
        <f>('Статистика акций за год'!H33-'Статистика акций за год'!H34)/'Статистика акций за год'!H34</f>
        <v>3.1120331950207172E-3</v>
      </c>
      <c r="I33" s="12">
        <f>('Статистика акций за год'!I33-'Статистика акций за год'!I34)/'Статистика акций за год'!I34</f>
        <v>-1.2176768367765737E-2</v>
      </c>
      <c r="J33" s="12">
        <f>('Статистика акций за год'!J33-'Статистика акций за год'!J34)/'Статистика акций за год'!J34</f>
        <v>-1.9280205655525897E-3</v>
      </c>
      <c r="K33" s="12">
        <f>('Статистика акций за год'!K33-'Статистика акций за год'!K34)/'Статистика акций за год'!K34</f>
        <v>1.417887625455249E-2</v>
      </c>
      <c r="L33" s="17">
        <v>0.13289999999999999</v>
      </c>
      <c r="M33" s="50">
        <f t="shared" si="0"/>
        <v>3.4192342029193412E-4</v>
      </c>
    </row>
    <row r="34" spans="1:13" x14ac:dyDescent="0.25">
      <c r="A34" s="6">
        <v>45226</v>
      </c>
      <c r="B34" s="12">
        <f>('Статистика акций за год'!B34-'Статистика акций за год'!B35)/'Статистика акций за год'!B35</f>
        <v>7.0035017508754665E-3</v>
      </c>
      <c r="C34" s="12">
        <f>('Статистика акций за год'!C34-'Статистика акций за год'!C35)/'Статистика акций за год'!C35</f>
        <v>-7.064410804392982E-3</v>
      </c>
      <c r="D34" s="12">
        <f>('Статистика акций за год'!D34-'Статистика акций за год'!D35)/'Статистика акций за год'!D35</f>
        <v>9.3006617778571485E-3</v>
      </c>
      <c r="E34" s="12">
        <f>('Статистика акций за год'!E34-'Статистика акций за год'!E35)/'Статистика акций за год'!E35</f>
        <v>1.9897084048027484E-2</v>
      </c>
      <c r="F34" s="12">
        <f>('Статистика акций за год'!F34-'Статистика акций за год'!F35)/'Статистика акций за год'!F35</f>
        <v>-7.4101519081136956E-4</v>
      </c>
      <c r="G34" s="12">
        <f>('Статистика акций за год'!G34-'Статистика акций за год'!G35)/'Статистика акций за год'!G35</f>
        <v>-1.4347202295552367E-2</v>
      </c>
      <c r="H34" s="12">
        <f>('Статистика акций за год'!H34-'Статистика акций за год'!H35)/'Статистика акций за год'!H35</f>
        <v>-1.5824400204185778E-2</v>
      </c>
      <c r="I34" s="12">
        <f>('Статистика акций за год'!I34-'Статистика акций за год'!I35)/'Статистика акций за год'!I35</f>
        <v>-1.5490301724137932E-2</v>
      </c>
      <c r="J34" s="12">
        <f>('Статистика акций за год'!J34-'Статистика акций за год'!J35)/'Статистика акций за год'!J35</f>
        <v>1.4341590612776978E-2</v>
      </c>
      <c r="K34" s="12">
        <f>('Статистика акций за год'!K34-'Статистика акций за год'!K35)/'Статистика акций за год'!K35</f>
        <v>-5.2637401132027105E-3</v>
      </c>
      <c r="L34" s="17">
        <v>0.13300000000000001</v>
      </c>
      <c r="M34" s="50">
        <f t="shared" si="0"/>
        <v>3.4216532533082322E-4</v>
      </c>
    </row>
    <row r="35" spans="1:13" x14ac:dyDescent="0.25">
      <c r="A35" s="6">
        <v>45225</v>
      </c>
      <c r="B35" s="12">
        <f>('Статистика акций за год'!B35-'Статистика акций за год'!B36)/'Статистика акций за год'!B36</f>
        <v>-2.1776364081233193E-2</v>
      </c>
      <c r="C35" s="12">
        <f>('Статистика акций за год'!C35-'Статистика акций за год'!C36)/'Статистика акций за год'!C36</f>
        <v>-6.8977714892112718E-3</v>
      </c>
      <c r="D35" s="12">
        <f>('Статистика акций за год'!D35-'Статистика акций за год'!D36)/'Статистика акций за год'!D36</f>
        <v>-1.5148846221595952E-2</v>
      </c>
      <c r="E35" s="12">
        <f>('Статистика акций за год'!E35-'Статистика акций за год'!E36)/'Статистика акций за год'!E36</f>
        <v>-1.2701100762066046E-2</v>
      </c>
      <c r="F35" s="12">
        <f>('Статистика акций за год'!F35-'Статистика акций за год'!F36)/'Статистика акций за год'!F36</f>
        <v>-1.3991889818434373E-2</v>
      </c>
      <c r="G35" s="12">
        <f>('Статистика акций за год'!G35-'Статистика акций за год'!G36)/'Статистика акций за год'!G36</f>
        <v>0.02</v>
      </c>
      <c r="H35" s="12">
        <f>('Статистика акций за год'!H35-'Статистика акций за год'!H36)/'Статистика акций за год'!H36</f>
        <v>-2.001000500250125E-2</v>
      </c>
      <c r="I35" s="12">
        <f>('Статистика акций за год'!I35-'Статистика акций за год'!I36)/'Статистика акций за год'!I36</f>
        <v>-1.1451398135818939E-2</v>
      </c>
      <c r="J35" s="12">
        <f>('Статистика акций за год'!J35-'Статистика акций за год'!J36)/'Статистика акций за год'!J36</f>
        <v>-1.3980395307729283E-2</v>
      </c>
      <c r="K35" s="12">
        <f>('Статистика акций за год'!K35-'Статистика акций за год'!K36)/'Статистика акций за год'!K36</f>
        <v>-1.7053280173976022E-2</v>
      </c>
      <c r="L35" s="17">
        <v>0.12429999999999999</v>
      </c>
      <c r="M35" s="50">
        <f t="shared" si="0"/>
        <v>3.2103952154005633E-4</v>
      </c>
    </row>
    <row r="36" spans="1:13" x14ac:dyDescent="0.25">
      <c r="A36" s="6">
        <v>45224</v>
      </c>
      <c r="B36" s="12">
        <f>('Статистика акций за год'!B36-'Статистика акций за год'!B37)/'Статистика акций за год'!B37</f>
        <v>1.9612650159352364E-3</v>
      </c>
      <c r="C36" s="12">
        <f>('Статистика акций за год'!C36-'Статистика акций за год'!C37)/'Статистика акций за год'!C37</f>
        <v>-3.3491979552264716E-3</v>
      </c>
      <c r="D36" s="12">
        <f>('Статистика акций за год'!D36-'Статистика акций за год'!D37)/'Статистика акций за год'!D37</f>
        <v>1.3388075687254551E-2</v>
      </c>
      <c r="E36" s="12">
        <f>('Статистика акций за год'!E36-'Статистика акций за год'!E37)/'Статистика акций за год'!E37</f>
        <v>7.3353804162401125E-3</v>
      </c>
      <c r="F36" s="12">
        <f>('Статистика акций за год'!F36-'Статистика акций за год'!F37)/'Статистика акций за год'!F37</f>
        <v>9.068455782062286E-3</v>
      </c>
      <c r="G36" s="12">
        <f>('Статистика акций за год'!G36-'Статистика акций за год'!G37)/'Статистика акций за год'!G37</f>
        <v>9.6035459246491019E-3</v>
      </c>
      <c r="H36" s="12">
        <f>('Статистика акций за год'!H36-'Статистика акций за год'!H37)/'Статистика акций за год'!H37</f>
        <v>-1.1374876360039482E-2</v>
      </c>
      <c r="I36" s="12">
        <f>('Статистика акций за год'!I36-'Статистика акций за год'!I37)/'Статистика акций за год'!I37</f>
        <v>-1.0800842992623873E-2</v>
      </c>
      <c r="J36" s="12">
        <f>('Статистика акций за год'!J36-'Статистика акций за год'!J37)/'Статистика акций за год'!J37</f>
        <v>-5.1159072741807279E-3</v>
      </c>
      <c r="K36" s="12">
        <f>('Статистика акций за год'!K36-'Статистика акций за год'!K37)/'Статистика акций за год'!K37</f>
        <v>1.115777824142546E-3</v>
      </c>
      <c r="L36" s="17">
        <v>0.1244</v>
      </c>
      <c r="M36" s="50">
        <f t="shared" si="0"/>
        <v>3.2128327178893024E-4</v>
      </c>
    </row>
    <row r="37" spans="1:13" x14ac:dyDescent="0.25">
      <c r="A37" s="6">
        <v>45223</v>
      </c>
      <c r="B37" s="12">
        <f>('Статистика акций за год'!B37-'Статистика акций за год'!B38)/'Статистика акций за год'!B38</f>
        <v>-3.663898387884675E-3</v>
      </c>
      <c r="C37" s="12">
        <f>('Статистика акций за год'!C37-'Статистика акций за год'!C38)/'Статистика акций за год'!C38</f>
        <v>-1.1737778038616623E-3</v>
      </c>
      <c r="D37" s="12">
        <f>('Статистика акций за год'!D37-'Статистика акций за год'!D38)/'Статистика акций за год'!D38</f>
        <v>1.8545454545454629E-2</v>
      </c>
      <c r="E37" s="12">
        <f>('Статистика акций за год'!E37-'Статистика акций за год'!E38)/'Статистика акций за год'!E38</f>
        <v>-1.1966964436204128E-2</v>
      </c>
      <c r="F37" s="12">
        <f>('Статистика акций за год'!F37-'Статистика акций за год'!F38)/'Статистика акций за год'!F38</f>
        <v>4.3317289892630837E-3</v>
      </c>
      <c r="G37" s="12">
        <f>('Статистика акций за год'!G37-'Статистика акций за год'!G38)/'Статистика акций за год'!G38</f>
        <v>8.6934923000496767E-3</v>
      </c>
      <c r="H37" s="12">
        <f>('Статистика акций за год'!H37-'Статистика акций за год'!H38)/'Статистика акций за год'!H38</f>
        <v>6.1974789915966298E-2</v>
      </c>
      <c r="I37" s="12">
        <f>('Статистика акций за год'!I37-'Статистика акций за год'!I38)/'Статистика акций за год'!I38</f>
        <v>-6.0225189840271134E-3</v>
      </c>
      <c r="J37" s="12">
        <f>('Статистика акций за год'!J37-'Статистика акций за год'!J38)/'Статистика акций за год'!J38</f>
        <v>-1.7555059048835345E-3</v>
      </c>
      <c r="K37" s="12">
        <f>('Статистика акций за год'!K37-'Статистика акций за год'!K38)/'Статистика акций за год'!K38</f>
        <v>1.0273470435133077E-2</v>
      </c>
      <c r="L37" s="17">
        <v>0.1242</v>
      </c>
      <c r="M37" s="50">
        <f t="shared" si="0"/>
        <v>3.2079574966936697E-4</v>
      </c>
    </row>
    <row r="38" spans="1:13" x14ac:dyDescent="0.25">
      <c r="A38" s="6">
        <v>45222</v>
      </c>
      <c r="B38" s="12">
        <f>('Статистика акций за год'!B38-'Статистика акций за год'!B39)/'Статистика акций за год'!B39</f>
        <v>2.4431956999750818E-4</v>
      </c>
      <c r="C38" s="12">
        <f>('Статистика акций за год'!C38-'Статистика акций за год'!C39)/'Статистика акций за год'!C39</f>
        <v>-5.8346461287122941E-3</v>
      </c>
      <c r="D38" s="12">
        <f>('Статистика акций за год'!D38-'Статистика акций за год'!D39)/'Статистика акций за год'!D39</f>
        <v>5.457522284881836E-4</v>
      </c>
      <c r="E38" s="12">
        <f>('Статистика акций за год'!E38-'Статистика акций за год'!E39)/'Статистика акций за год'!E39</f>
        <v>-1.5923038646541755E-2</v>
      </c>
      <c r="F38" s="12">
        <f>('Статистика акций за год'!F38-'Статистика акций за год'!F39)/'Статистика акций за год'!F39</f>
        <v>1.1119347664937411E-3</v>
      </c>
      <c r="G38" s="12">
        <f>('Статистика акций за год'!G38-'Статистика акций за год'!G39)/'Статистика акций за год'!G39</f>
        <v>-7.3964497041420114E-3</v>
      </c>
      <c r="H38" s="12">
        <f>('Статистика акций за год'!H38-'Статистика акций за год'!H39)/'Статистика акций за год'!H39</f>
        <v>-4.7046523784631767E-3</v>
      </c>
      <c r="I38" s="12">
        <f>('Статистика акций за год'!I38-'Статистика акций за год'!I39)/'Статистика акций за год'!I39</f>
        <v>1.3109596224436288E-3</v>
      </c>
      <c r="J38" s="12">
        <f>('Статистика акций за год'!J38-'Статистика акций за год'!J39)/'Статистика акций за год'!J39</f>
        <v>-6.0279187817258162E-3</v>
      </c>
      <c r="K38" s="12">
        <f>('Статистика акций за год'!K38-'Статистика акций за год'!K39)/'Статистика акций за год'!K39</f>
        <v>9.1279860167023819E-3</v>
      </c>
      <c r="L38" s="17">
        <v>0.1237</v>
      </c>
      <c r="M38" s="50">
        <f t="shared" si="0"/>
        <v>3.1957656585568373E-4</v>
      </c>
    </row>
    <row r="39" spans="1:13" x14ac:dyDescent="0.25">
      <c r="A39" s="6">
        <v>45219</v>
      </c>
      <c r="B39" s="12">
        <f>('Статистика акций за год'!B39-'Статистика акций за год'!B40)/'Статистика акций за год'!B40</f>
        <v>1.2230919765165644E-3</v>
      </c>
      <c r="C39" s="12">
        <f>('Статистика акций за год'!C39-'Статистика акций за год'!C40)/'Статистика акций за год'!C40</f>
        <v>5.9279258128887838E-3</v>
      </c>
      <c r="D39" s="12">
        <f>('Статистика акций за год'!D39-'Статистика акций за год'!D40)/'Статистика акций за год'!D40</f>
        <v>5.3035844915875841E-3</v>
      </c>
      <c r="E39" s="12">
        <f>('Статистика акций за год'!E39-'Статистика акций за год'!E40)/'Статистика акций за год'!E40</f>
        <v>1.2851742965140659E-2</v>
      </c>
      <c r="F39" s="12">
        <f>('Статистика акций за год'!F39-'Статистика акций за год'!F40)/'Статистика акций за год'!F40</f>
        <v>4.2806625721199861E-3</v>
      </c>
      <c r="G39" s="12">
        <f>('Статистика акций за год'!G39-'Статистика акций за год'!G40)/'Статистика акций за год'!G40</f>
        <v>-5.6386369208139249E-3</v>
      </c>
      <c r="H39" s="12">
        <f>('Статистика акций за год'!H39-'Статистика акций за год'!H40)/'Статистика акций за год'!H40</f>
        <v>-6.7497403946001197E-3</v>
      </c>
      <c r="I39" s="12">
        <f>('Статистика акций за год'!I39-'Статистика акций за год'!I40)/'Статистика акций за год'!I40</f>
        <v>-4.0475257866562512E-3</v>
      </c>
      <c r="J39" s="12">
        <f>('Статистика акций за год'!J39-'Статистика акций за год'!J40)/'Статистика акций за год'!J40</f>
        <v>-4.2647291107250759E-3</v>
      </c>
      <c r="K39" s="12">
        <f>('Статистика акций за год'!K39-'Статистика акций за год'!K40)/'Статистика акций за год'!K40</f>
        <v>2.3425521040377081E-2</v>
      </c>
      <c r="L39" s="17">
        <v>0.1221</v>
      </c>
      <c r="M39" s="50">
        <f t="shared" si="0"/>
        <v>3.1567153895184497E-4</v>
      </c>
    </row>
    <row r="40" spans="1:13" x14ac:dyDescent="0.25">
      <c r="A40" s="6">
        <v>45218</v>
      </c>
      <c r="B40" s="12">
        <f>('Статистика акций за год'!B40-'Статистика акций за год'!B41)/'Статистика акций за год'!B41</f>
        <v>1.2245897624296904E-3</v>
      </c>
      <c r="C40" s="12">
        <f>('Статистика акций за год'!C40-'Статистика акций за год'!C41)/'Статистика акций за год'!C41</f>
        <v>1.1752262310494102E-3</v>
      </c>
      <c r="D40" s="12">
        <f>('Статистика акций за год'!D40-'Статистика акций за год'!D41)/'Статистика акций за год'!D41</f>
        <v>-5.8181818181819011E-3</v>
      </c>
      <c r="E40" s="12">
        <f>('Статистика акций за год'!E40-'Статистика акций за год'!E41)/'Статистика акций за год'!E41</f>
        <v>1.4400136332651749E-2</v>
      </c>
      <c r="F40" s="12">
        <f>('Статистика акций за год'!F40-'Статистика акций за год'!F41)/'Статистика акций за год'!F41</f>
        <v>2.7995520716685334E-3</v>
      </c>
      <c r="G40" s="12">
        <f>('Статистика акций за год'!G40-'Статистика акций за год'!G41)/'Статистика акций за год'!G41</f>
        <v>4.9055678194751039E-4</v>
      </c>
      <c r="H40" s="12">
        <f>('Статистика акций за год'!H40-'Статистика акций за год'!H41)/'Статистика акций за год'!H41</f>
        <v>-6.7044868488912394E-3</v>
      </c>
      <c r="I40" s="12">
        <f>('Статистика акций за год'!I40-'Статистика акций за год'!I41)/'Статистика акций за год'!I41</f>
        <v>-7.9015544041451079E-3</v>
      </c>
      <c r="J40" s="12">
        <f>('Статистика акций за год'!J40-'Статистика акций за год'!J41)/'Статистика акций за год'!J41</f>
        <v>1.2652222046497996E-3</v>
      </c>
      <c r="K40" s="12">
        <f>('Статистика акций за год'!K40-'Статистика акций за год'!K41)/'Статистика акций за год'!K41</f>
        <v>5.1085932817716362E-3</v>
      </c>
      <c r="L40" s="17">
        <v>0.1222</v>
      </c>
      <c r="M40" s="50">
        <f t="shared" si="0"/>
        <v>3.15915765767949E-4</v>
      </c>
    </row>
    <row r="41" spans="1:13" x14ac:dyDescent="0.25">
      <c r="A41" s="6">
        <v>45217</v>
      </c>
      <c r="B41" s="12">
        <f>('Статистика акций за год'!B41-'Статистика акций за год'!B42)/'Статистика акций за год'!B42</f>
        <v>-7.29394602479952E-3</v>
      </c>
      <c r="C41" s="12">
        <f>('Статистика акций за год'!C41-'Статистика акций за год'!C42)/'Статистика акций за год'!C42</f>
        <v>-1.0408792231203071E-2</v>
      </c>
      <c r="D41" s="12">
        <f>('Статистика акций за год'!D41-'Статистика акций за год'!D42)/'Статистика акций за год'!D42</f>
        <v>-3.2620514679230785E-3</v>
      </c>
      <c r="E41" s="12">
        <f>('Статистика акций за год'!E41-'Статистика акций за год'!E42)/'Статистика акций за год'!E42</f>
        <v>2.3994415845039703E-2</v>
      </c>
      <c r="F41" s="12">
        <f>('Статистика акций за год'!F41-'Статистика акций за год'!F42)/'Статистика акций за год'!F42</f>
        <v>-7.7777777777778617E-3</v>
      </c>
      <c r="G41" s="12">
        <f>('Статистика акций за год'!G41-'Статистика акций за год'!G42)/'Статистика акций за год'!G42</f>
        <v>-7.3529411764705881E-4</v>
      </c>
      <c r="H41" s="12">
        <f>('Статистика акций за год'!H41-'Статистика акций за год'!H42)/'Статистика акций за год'!H42</f>
        <v>-1.0303967027304928E-3</v>
      </c>
      <c r="I41" s="12">
        <f>('Статистика акций за год'!I41-'Статистика акций за год'!I42)/'Статистика акций за год'!I42</f>
        <v>6.2565172054222552E-3</v>
      </c>
      <c r="J41" s="12">
        <f>('Статистика акций за год'!J41-'Статистика акций за год'!J42)/'Статистика акций за год'!J42</f>
        <v>6.0461416070007228E-3</v>
      </c>
      <c r="K41" s="12">
        <f>('Статистика акций за год'!K41-'Статистика акций за год'!K42)/'Статистика акций за год'!K42</f>
        <v>4.184220330725465E-3</v>
      </c>
      <c r="L41" s="17">
        <v>0.1215</v>
      </c>
      <c r="M41" s="50">
        <f t="shared" si="0"/>
        <v>3.1420572208329389E-4</v>
      </c>
    </row>
    <row r="42" spans="1:13" x14ac:dyDescent="0.25">
      <c r="A42" s="6">
        <v>45216</v>
      </c>
      <c r="B42" s="12">
        <f>('Статистика акций за год'!B42-'Статистика акций за год'!B43)/'Статистика акций за год'!B43</f>
        <v>-5.0798258345428355E-3</v>
      </c>
      <c r="C42" s="12">
        <f>('Статистика акций за год'!C42-'Статистика акций за год'!C43)/'Статистика акций за год'!C43</f>
        <v>-3.3613445378151982E-3</v>
      </c>
      <c r="D42" s="12">
        <f>('Статистика акций за год'!D42-'Статистика акций за год'!D43)/'Статистика акций за год'!D43</f>
        <v>1.0885341074018669E-3</v>
      </c>
      <c r="E42" s="12">
        <f>('Статистика акций за год'!E42-'Статистика акций за год'!E43)/'Статистика акций за год'!E43</f>
        <v>7.7376241976610874E-3</v>
      </c>
      <c r="F42" s="12">
        <f>('Статистика акций за год'!F42-'Статистика акций за год'!F43)/'Статистика акций за год'!F43</f>
        <v>6.8991236248369305E-3</v>
      </c>
      <c r="G42" s="12">
        <f>('Статистика акций за год'!G42-'Статистика акций за год'!G43)/'Статистика акций за год'!G43</f>
        <v>-3.4196384953590619E-3</v>
      </c>
      <c r="H42" s="12">
        <f>('Статистика акций за год'!H42-'Статистика акций за год'!H43)/'Статистика акций за год'!H43</f>
        <v>-2.5693730729701952E-3</v>
      </c>
      <c r="I42" s="12">
        <f>('Статистика акций за год'!I42-'Статистика акций за год'!I43)/'Статистика акций за год'!I43</f>
        <v>1.0138248847926327E-2</v>
      </c>
      <c r="J42" s="12">
        <f>('Статистика акций за год'!J42-'Статистика акций за год'!J43)/'Статистика акций за год'!J43</f>
        <v>-6.360311655270747E-4</v>
      </c>
      <c r="K42" s="12">
        <f>('Статистика акций за год'!K42-'Статистика акций за год'!K43)/'Статистика акций за год'!K43</f>
        <v>-2.0057306590261353E-4</v>
      </c>
      <c r="L42" s="17">
        <v>0.1216</v>
      </c>
      <c r="M42" s="50">
        <f t="shared" si="0"/>
        <v>3.1445007919650436E-4</v>
      </c>
    </row>
    <row r="43" spans="1:13" x14ac:dyDescent="0.25">
      <c r="A43" s="6">
        <v>45215</v>
      </c>
      <c r="B43" s="12">
        <f>('Статистика акций за год'!B43-'Статистика акций за год'!B44)/'Статистика акций за год'!B44</f>
        <v>2.2002472187886292E-2</v>
      </c>
      <c r="C43" s="12">
        <f>('Статистика акций за год'!C43-'Статистика акций за год'!C44)/'Статистика акций за год'!C44</f>
        <v>1.3807285546416116E-2</v>
      </c>
      <c r="D43" s="12">
        <f>('Статистика акций за год'!D43-'Статистика акций за год'!D44)/'Статистика акций за год'!D44</f>
        <v>1.6786570743405317E-2</v>
      </c>
      <c r="E43" s="12">
        <f>('Статистика акций за год'!E43-'Статистика акций за год'!E44)/'Статистика акций за год'!E44</f>
        <v>1.210287443267768E-2</v>
      </c>
      <c r="F43" s="12">
        <f>('Статистика акций за год'!F43-'Статистика акций за год'!F44)/'Статистика акций за год'!F44</f>
        <v>1.7608439907403843E-2</v>
      </c>
      <c r="G43" s="12">
        <f>('Статистика акций за год'!G43-'Статистика акций за год'!G44)/'Статистика акций за год'!G44</f>
        <v>1.4622057001239157E-2</v>
      </c>
      <c r="H43" s="12">
        <f>('Статистика акций за год'!H43-'Статистика акций за год'!H44)/'Статистика акций за год'!H44</f>
        <v>1.9381875327396481E-2</v>
      </c>
      <c r="I43" s="12">
        <f>('Статистика акций за год'!I43-'Статистика акций за год'!I44)/'Статистика акций за год'!I44</f>
        <v>2.413700107874862E-2</v>
      </c>
      <c r="J43" s="12">
        <f>('Статистика акций за год'!J43-'Статистика акций за год'!J44)/'Статистика акций за год'!J44</f>
        <v>9.5495782269620054E-4</v>
      </c>
      <c r="K43" s="12">
        <f>('Статистика акций за год'!K43-'Статистика акций за год'!K44)/'Статистика акций за год'!K44</f>
        <v>1.2464824825212117E-2</v>
      </c>
      <c r="L43" s="17">
        <v>0.1232</v>
      </c>
      <c r="M43" s="50">
        <f t="shared" si="0"/>
        <v>3.1835684092174077E-4</v>
      </c>
    </row>
    <row r="44" spans="1:13" x14ac:dyDescent="0.25">
      <c r="A44" s="6">
        <v>45212</v>
      </c>
      <c r="B44" s="12">
        <f>('Статистика акций за год'!B44-'Статистика акций за год'!B45)/'Статистика акций за год'!B45</f>
        <v>1.2376237623763432E-3</v>
      </c>
      <c r="C44" s="12">
        <f>('Статистика акций за год'!C44-'Статистика акций за год'!C45)/'Статистика акций за год'!C45</f>
        <v>4.1297935103244169E-3</v>
      </c>
      <c r="D44" s="12">
        <f>('Статистика акций за год'!D44-'Статистика акций за год'!D45)/'Статистика акций за год'!D45</f>
        <v>-5.5309734513265955E-4</v>
      </c>
      <c r="E44" s="12">
        <f>('Статистика акций за год'!E44-'Статистика акций за год'!E45)/'Статистика акций за год'!E45</f>
        <v>2.8935079205201115E-2</v>
      </c>
      <c r="F44" s="12">
        <f>('Статистика акций за год'!F44-'Статистика акций за год'!F45)/'Статистика акций за год'!F45</f>
        <v>-3.742911153119127E-3</v>
      </c>
      <c r="G44" s="12">
        <f>('Статистика акций за год'!G44-'Статистика акций за год'!G45)/'Статистика акций за год'!G45</f>
        <v>1.2406947890818859E-3</v>
      </c>
      <c r="H44" s="12">
        <f>('Статистика акций за год'!H44-'Статистика акций за год'!H45)/'Статистика акций за год'!H45</f>
        <v>-4.1731872717787324E-3</v>
      </c>
      <c r="I44" s="12">
        <f>('Статистика акций за год'!I44-'Статистика акций за год'!I45)/'Статистика акций за год'!I45</f>
        <v>-5.8981233243967524E-3</v>
      </c>
      <c r="J44" s="12">
        <f>('Статистика акций за год'!J44-'Статистика акций за год'!J45)/'Статистика акций за год'!J45</f>
        <v>1.7325129533678645E-2</v>
      </c>
      <c r="K44" s="12">
        <f>('Статистика акций за год'!K44-'Статистика акций за год'!K45)/'Статистика акций за год'!K45</f>
        <v>7.4920597805964682E-3</v>
      </c>
      <c r="L44" s="17">
        <v>0.12509999999999999</v>
      </c>
      <c r="M44" s="50">
        <f t="shared" si="0"/>
        <v>3.2298891844506628E-4</v>
      </c>
    </row>
    <row r="45" spans="1:13" x14ac:dyDescent="0.25">
      <c r="A45" s="6">
        <v>45211</v>
      </c>
      <c r="B45" s="12">
        <f>('Статистика акций за год'!B45-'Статистика акций за год'!B46)/'Статистика акций за год'!B46</f>
        <v>9.9108027750245665E-4</v>
      </c>
      <c r="C45" s="12">
        <f>('Статистика акций за год'!C45-'Статистика акций за год'!C46)/'Статистика акций за год'!C46</f>
        <v>9.5896122461136095E-3</v>
      </c>
      <c r="D45" s="12">
        <f>('Статистика акций за год'!D45-'Статистика акций за год'!D46)/'Статистика акций за год'!D46</f>
        <v>2.7731558513588465E-3</v>
      </c>
      <c r="E45" s="12">
        <f>('Статистика акций за год'!E45-'Статистика акций за год'!E46)/'Статистика акций за год'!E46</f>
        <v>1.0548718423244067E-2</v>
      </c>
      <c r="F45" s="12">
        <f>('Статистика акций за год'!F45-'Статистика акций за год'!F46)/'Статистика акций за год'!F46</f>
        <v>1.6486683832289385E-2</v>
      </c>
      <c r="G45" s="12">
        <f>('Статистика акций за год'!G45-'Статистика акций за год'!G46)/'Статистика акций за год'!G46</f>
        <v>-1.4866204162537165E-3</v>
      </c>
      <c r="H45" s="12">
        <f>('Статистика акций за год'!H45-'Статистика акций за год'!H46)/'Статистика акций за год'!H46</f>
        <v>1.5360169491525303E-2</v>
      </c>
      <c r="I45" s="12">
        <f>('Статистика акций за год'!I45-'Статистика акций за год'!I46)/'Статистика акций за год'!I46</f>
        <v>5.364806866952485E-4</v>
      </c>
      <c r="J45" s="12">
        <f>('Статистика акций за год'!J45-'Статистика акций за год'!J46)/'Статистика акций за год'!J46</f>
        <v>-1.9392372333547703E-3</v>
      </c>
      <c r="K45" s="12">
        <f>('Статистика акций за год'!K45-'Статистика акций за год'!K46)/'Статистика акций за год'!K46</f>
        <v>2.1069595320520537E-2</v>
      </c>
      <c r="L45" s="17">
        <v>0.12570000000000001</v>
      </c>
      <c r="M45" s="50">
        <f t="shared" si="0"/>
        <v>3.2445005919234937E-4</v>
      </c>
    </row>
    <row r="46" spans="1:13" x14ac:dyDescent="0.25">
      <c r="A46" s="6">
        <v>45210</v>
      </c>
      <c r="B46" s="12">
        <f>('Статистика акций за год'!B46-'Статистика акций за год'!B47)/'Статистика акций за год'!B47</f>
        <v>-9.3274423171331011E-3</v>
      </c>
      <c r="C46" s="12">
        <f>('Статистика акций за год'!C46-'Статистика акций за год'!C47)/'Статистика акций за год'!C47</f>
        <v>-8.331845503779967E-4</v>
      </c>
      <c r="D46" s="12">
        <f>('Статистика акций за год'!D46-'Статистика акций за год'!D47)/'Статистика акций за год'!D47</f>
        <v>-8.0689528699797869E-3</v>
      </c>
      <c r="E46" s="12">
        <f>('Статистика акций за год'!E46-'Статистика акций за год'!E47)/'Статистика акций за год'!E47</f>
        <v>-1.5755919854280469E-2</v>
      </c>
      <c r="F46" s="12">
        <f>('Статистика акций за год'!F46-'Статистика акций за год'!F47)/'Статистика акций за год'!F47</f>
        <v>-1.0608365019011485E-2</v>
      </c>
      <c r="G46" s="12">
        <f>('Статистика акций за год'!G46-'Статистика акций за год'!G47)/'Статистика акций за год'!G47</f>
        <v>-1.3444145685651431E-2</v>
      </c>
      <c r="H46" s="12">
        <f>('Статистика акций за год'!H46-'Статистика акций за год'!H47)/'Статистика акций за год'!H47</f>
        <v>-1.5127803860198109E-2</v>
      </c>
      <c r="I46" s="12">
        <f>('Статистика акций за год'!I46-'Статистика акций за год'!I47)/'Статистика акций за год'!I47</f>
        <v>-1.7395888244596643E-2</v>
      </c>
      <c r="J46" s="12">
        <f>('Статистика акций за год'!J46-'Статистика акций за год'!J47)/'Статистика акций за год'!J47</f>
        <v>-4.7267128560431172E-2</v>
      </c>
      <c r="K46" s="12">
        <f>('Статистика акций за год'!K46-'Статистика акций за год'!K47)/'Статистика акций за год'!K47</f>
        <v>8.7099622702095855E-3</v>
      </c>
      <c r="L46" s="17">
        <v>0.12590000000000001</v>
      </c>
      <c r="M46" s="50">
        <f t="shared" si="0"/>
        <v>3.2493693352275699E-4</v>
      </c>
    </row>
    <row r="47" spans="1:13" x14ac:dyDescent="0.25">
      <c r="A47" s="6">
        <v>45209</v>
      </c>
      <c r="B47" s="12">
        <f>('Статистика акций за год'!B47-'Статистика акций за год'!B48)/'Статистика акций за год'!B48</f>
        <v>4.4378698224852003E-3</v>
      </c>
      <c r="C47" s="12">
        <f>('Статистика акций за год'!C47-'Статистика акций за год'!C48)/'Статистика акций за год'!C48</f>
        <v>5.8062971387525374E-3</v>
      </c>
      <c r="D47" s="12">
        <f>('Статистика акций за год'!D47-'Статистика акций за год'!D48)/'Статистика акций за год'!D48</f>
        <v>6.4599483204134372E-3</v>
      </c>
      <c r="E47" s="12">
        <f>('Статистика акций за год'!E47-'Статистика акций за год'!E48)/'Статистика акций за год'!E48</f>
        <v>-6.3348416289592761E-3</v>
      </c>
      <c r="F47" s="12">
        <f>('Статистика акций за год'!F47-'Статистика акций за год'!F48)/'Статистика акций за год'!F48</f>
        <v>-8.4825636192271438E-3</v>
      </c>
      <c r="G47" s="12">
        <f>('Статистика акций за год'!G47-'Статистика акций за год'!G48)/'Статистика акций за год'!G48</f>
        <v>0</v>
      </c>
      <c r="H47" s="12">
        <f>('Статистика акций за год'!H47-'Статистика акций за год'!H48)/'Статистика акций за год'!H48</f>
        <v>1.3749338974087755E-2</v>
      </c>
      <c r="I47" s="12">
        <f>('Статистика акций за год'!I47-'Статистика акций за год'!I48)/'Статистика акций за год'!I48</f>
        <v>4.3741403026134738E-2</v>
      </c>
      <c r="J47" s="12">
        <f>('Статистика акций за год'!J47-'Статистика акций за год'!J48)/'Статистика акций за год'!J48</f>
        <v>9.0104085754232621E-3</v>
      </c>
      <c r="K47" s="12">
        <f>('Статистика акций за год'!K47-'Статистика акций за год'!K48)/'Статистика акций за год'!K48</f>
        <v>-1.028880149366386E-2</v>
      </c>
      <c r="L47" s="17">
        <v>0.12620000000000001</v>
      </c>
      <c r="M47" s="50">
        <f t="shared" si="0"/>
        <v>3.2566708332470995E-4</v>
      </c>
    </row>
    <row r="48" spans="1:13" x14ac:dyDescent="0.25">
      <c r="A48" s="6">
        <v>45208</v>
      </c>
      <c r="B48" s="12">
        <f>('Статистика акций за год'!B48-'Статистика акций за год'!B49)/'Статистика акций за год'!B49</f>
        <v>-1.7228648781688477E-3</v>
      </c>
      <c r="C48" s="12">
        <f>('Статистика акций за год'!C48-'Статистика акций за год'!C49)/'Статистика акций за год'!C49</f>
        <v>2.8212977969866069E-3</v>
      </c>
      <c r="D48" s="12">
        <f>('Статистика акций за год'!D48-'Статистика акций за год'!D49)/'Статистика акций за год'!D49</f>
        <v>2.4051803885290555E-3</v>
      </c>
      <c r="E48" s="12">
        <f>('Статистика акций за год'!E48-'Статистика акций за год'!E49)/'Статистика акций за год'!E49</f>
        <v>3.4256832646948621E-2</v>
      </c>
      <c r="F48" s="12">
        <f>('Статистика акций за год'!F48-'Статистика акций за год'!F49)/'Статистика акций за год'!F49</f>
        <v>8.8236412733426889E-3</v>
      </c>
      <c r="G48" s="12">
        <f>('Статистика акций за год'!G48-'Статистика акций за год'!G49)/'Статистика акций за год'!G49</f>
        <v>2.2749999999999999E-2</v>
      </c>
      <c r="H48" s="12">
        <f>('Статистика акций за год'!H48-'Статистика акций за год'!H49)/'Статистика акций за год'!H49</f>
        <v>9.6102509343298607E-3</v>
      </c>
      <c r="I48" s="12">
        <f>('Статистика акций за год'!I48-'Статистика акций за год'!I49)/'Статистика акций за год'!I49</f>
        <v>-1.9220208676551033E-3</v>
      </c>
      <c r="J48" s="12">
        <f>('Статистика акций за год'!J48-'Статистика акций за год'!J49)/'Статистика акций за год'!J49</f>
        <v>8.9341692789969371E-3</v>
      </c>
      <c r="K48" s="12">
        <f>('Статистика акций за год'!K48-'Статистика акций за год'!K49)/'Статистика акций за год'!K49</f>
        <v>2.0037684624268061E-2</v>
      </c>
      <c r="L48" s="17">
        <v>0.12709999999999999</v>
      </c>
      <c r="M48" s="50">
        <f t="shared" si="0"/>
        <v>3.2785636950016794E-4</v>
      </c>
    </row>
    <row r="49" spans="1:13" x14ac:dyDescent="0.25">
      <c r="A49" s="6">
        <v>45205</v>
      </c>
      <c r="B49" s="12">
        <f>('Статистика акций за год'!B49-'Статистика акций за год'!B50)/'Статистика акций за год'!B50</f>
        <v>4.449938195302836E-3</v>
      </c>
      <c r="C49" s="12">
        <f>('Статистика акций за год'!C49-'Статистика акций за год'!C50)/'Статистика акций за год'!C50</f>
        <v>3.1916174876550712E-3</v>
      </c>
      <c r="D49" s="12">
        <f>('Статистика акций за год'!D49-'Статистика акций за год'!D50)/'Статистика акций за год'!D50</f>
        <v>-2.7675276752767526E-3</v>
      </c>
      <c r="E49" s="12">
        <f>('Статистика акций за год'!E49-'Статистика акций за год'!E50)/'Статистика акций за год'!E50</f>
        <v>-9.3510379652141378E-4</v>
      </c>
      <c r="F49" s="12">
        <f>('Статистика акций за год'!F49-'Статистика акций за год'!F50)/'Статистика акций за год'!F50</f>
        <v>1.3686483152132051E-2</v>
      </c>
      <c r="G49" s="12">
        <f>('Статистика акций за год'!G49-'Статистика акций за год'!G50)/'Статистика акций за год'!G50</f>
        <v>1.8589253883371529E-2</v>
      </c>
      <c r="H49" s="12">
        <f>('Статистика акций за год'!H49-'Статистика акций за год'!H50)/'Статистика акций за год'!H50</f>
        <v>1.0689470871192788E-3</v>
      </c>
      <c r="I49" s="12">
        <f>('Статистика акций за год'!I49-'Статистика акций за год'!I50)/'Статистика акций за год'!I50</f>
        <v>2.5626584060827837E-2</v>
      </c>
      <c r="J49" s="12">
        <f>('Статистика акций за год'!J49-'Статистика акций за год'!J50)/'Статистика акций за год'!J50</f>
        <v>6.6266961186494883E-3</v>
      </c>
      <c r="K49" s="12">
        <f>('Статистика акций за год'!K49-'Статистика акций за год'!K50)/'Статистика акций за год'!K50</f>
        <v>4.6203948707510311E-3</v>
      </c>
      <c r="L49" s="17">
        <v>0.1268</v>
      </c>
      <c r="M49" s="50">
        <f t="shared" si="0"/>
        <v>3.2712680121038673E-4</v>
      </c>
    </row>
    <row r="50" spans="1:13" x14ac:dyDescent="0.25">
      <c r="A50" s="6">
        <v>45204</v>
      </c>
      <c r="B50" s="12">
        <f>('Статистика акций за год'!B50-'Статистика акций за год'!B51)/'Статистика акций за год'!B51</f>
        <v>-7.3619631901839797E-3</v>
      </c>
      <c r="C50" s="12">
        <f>('Статистика акций за год'!C50-'Статистика акций за год'!C51)/'Статистика акций за год'!C51</f>
        <v>3.9903264812575371E-3</v>
      </c>
      <c r="D50" s="12">
        <f>('Статистика акций за год'!D50-'Статистика акций за год'!D51)/'Статистика акций за год'!D51</f>
        <v>-3.1267242964871165E-3</v>
      </c>
      <c r="E50" s="12">
        <f>('Статистика акций за год'!E50-'Статистика акций за год'!E51)/'Статистика акций за год'!E51</f>
        <v>1.40462590130162E-3</v>
      </c>
      <c r="F50" s="12">
        <f>('Статистика акций за год'!F50-'Статистика акций за год'!F51)/'Статистика акций за год'!F51</f>
        <v>-5.779678649866192E-4</v>
      </c>
      <c r="G50" s="12">
        <f>('Статистика акций за год'!G50-'Статистика акций за год'!G51)/'Статистика акций за год'!G51</f>
        <v>2.5471217524197657E-4</v>
      </c>
      <c r="H50" s="12">
        <f>('Статистика акций за год'!H50-'Статистика акций за год'!H51)/'Статистика акций за год'!H51</f>
        <v>1.0804970286331712E-2</v>
      </c>
      <c r="I50" s="12">
        <f>('Статистика акций за год'!I50-'Статистика акций за год'!I51)/'Статистика акций за год'!I51</f>
        <v>-1.8518518518518486E-2</v>
      </c>
      <c r="J50" s="12">
        <f>('Статистика акций за год'!J50-'Статистика акций за год'!J51)/'Статистика акций за год'!J51</f>
        <v>-6.3071586250408531E-4</v>
      </c>
      <c r="K50" s="12">
        <f>('Статистика акций за год'!K50-'Статистика акций за год'!K51)/'Статистика акций за год'!K51</f>
        <v>-8.8263479094164519E-3</v>
      </c>
      <c r="L50" s="17">
        <v>0.12659999999999999</v>
      </c>
      <c r="M50" s="50">
        <f t="shared" si="0"/>
        <v>3.266403147266228E-4</v>
      </c>
    </row>
    <row r="51" spans="1:13" x14ac:dyDescent="0.25">
      <c r="A51" s="6">
        <v>45203</v>
      </c>
      <c r="B51" s="12">
        <f>('Статистика акций за год'!B51-'Статистика акций за год'!B52)/'Статистика акций за год'!B52</f>
        <v>-5.6124938994630766E-3</v>
      </c>
      <c r="C51" s="12">
        <f>('Статистика акций за год'!C51-'Статистика акций за год'!C52)/'Статистика акций за год'!C52</f>
        <v>-8.0959520239879713E-3</v>
      </c>
      <c r="D51" s="12">
        <f>('Статистика акций за год'!D51-'Статистика акций за год'!D52)/'Статистика акций за год'!D52</f>
        <v>1.6580692704496888E-3</v>
      </c>
      <c r="E51" s="12">
        <f>('Статистика акций за год'!E51-'Статистика акций за год'!E52)/'Статистика акций за год'!E52</f>
        <v>-9.1853776210798523E-3</v>
      </c>
      <c r="F51" s="12">
        <f>('Статистика акций за год'!F51-'Статистика акций за год'!F52)/'Статистика акций за год'!F52</f>
        <v>-4.6216060080879858E-4</v>
      </c>
      <c r="G51" s="12">
        <f>('Статистика акций за год'!G51-'Статистика акций за год'!G52)/'Статистика акций за год'!G52</f>
        <v>4.3489383474034282E-3</v>
      </c>
      <c r="H51" s="12">
        <f>('Статистика акций за год'!H51-'Статистика акций за год'!H52)/'Статистика акций за год'!H52</f>
        <v>5.4054054054050987E-4</v>
      </c>
      <c r="I51" s="12">
        <f>('Статистика акций за год'!I51-'Статистика акций за год'!I52)/'Статистика акций за год'!I52</f>
        <v>-1.9645034548164204E-2</v>
      </c>
      <c r="J51" s="12">
        <f>('Статистика акций за год'!J51-'Статистика акций за год'!J52)/'Статистика акций за год'!J52</f>
        <v>-7.6670317634172699E-3</v>
      </c>
      <c r="K51" s="12">
        <f>('Статистика акций за год'!K51-'Статистика акций за год'!K52)/'Статистика акций за год'!K52</f>
        <v>-2.4050556483587119E-3</v>
      </c>
      <c r="L51" s="17">
        <v>0.1265</v>
      </c>
      <c r="M51" s="50">
        <f t="shared" si="0"/>
        <v>3.2639703918624363E-4</v>
      </c>
    </row>
    <row r="52" spans="1:13" x14ac:dyDescent="0.25">
      <c r="A52" s="6">
        <v>45202</v>
      </c>
      <c r="B52" s="12">
        <f>('Статистика акций за год'!B52-'Статистика акций за год'!B53)/'Статистика акций за год'!B53</f>
        <v>4.1656456750795044E-3</v>
      </c>
      <c r="C52" s="12">
        <f>('Статистика акций за год'!C52-'Статистика акций за год'!C53)/'Статистика акций за год'!C53</f>
        <v>4.0342003853563787E-3</v>
      </c>
      <c r="D52" s="12">
        <f>('Статистика акций за год'!D52-'Статистика акций за год'!D53)/'Статистика акций за год'!D53</f>
        <v>-2.5725836089674583E-3</v>
      </c>
      <c r="E52" s="12">
        <f>('Статистика акций за год'!E52-'Статистика акций за год'!E53)/'Статистика акций за год'!E53</f>
        <v>6.2552516104939278E-3</v>
      </c>
      <c r="F52" s="12">
        <f>('Статистика акций за год'!F52-'Статистика акций за год'!F53)/'Статистика акций за год'!F53</f>
        <v>2.5870723607999036E-3</v>
      </c>
      <c r="G52" s="12">
        <f>('Статистика акций за год'!G52-'Статистика акций за год'!G53)/'Статистика акций за год'!G53</f>
        <v>-2.5516713447307987E-3</v>
      </c>
      <c r="H52" s="12">
        <f>('Статистика акций за год'!H52-'Статистика акций за год'!H53)/'Статистика акций за год'!H53</f>
        <v>-6.4446831364123993E-3</v>
      </c>
      <c r="I52" s="12">
        <f>('Статистика акций за год'!I52-'Статистика акций за год'!I53)/'Статистика акций за год'!I53</f>
        <v>2.172437202987132E-3</v>
      </c>
      <c r="J52" s="12">
        <f>('Статистика акций за год'!J52-'Статистика акций за год'!J53)/'Статистика акций за год'!J53</f>
        <v>-3.1284217112456094E-4</v>
      </c>
      <c r="K52" s="12">
        <f>('Статистика акций за год'!K52-'Статистика акций за год'!K53)/'Статистика акций за год'!K53</f>
        <v>1.5722953496341986E-3</v>
      </c>
      <c r="L52" s="17">
        <v>0.12559999999999999</v>
      </c>
      <c r="M52" s="50">
        <f t="shared" si="0"/>
        <v>3.2420658967691196E-4</v>
      </c>
    </row>
    <row r="53" spans="1:13" x14ac:dyDescent="0.25">
      <c r="A53" s="6">
        <v>45201</v>
      </c>
      <c r="B53" s="12">
        <f>('Статистика акций за год'!B53-'Статистика акций за год'!B54)/'Статистика акций за год'!B54</f>
        <v>-1.6626506024096332E-2</v>
      </c>
      <c r="C53" s="12">
        <f>('Статистика акций за год'!C53-'Статистика акций за год'!C54)/'Статистика акций за год'!C54</f>
        <v>-6.0446465976419349E-3</v>
      </c>
      <c r="D53" s="12">
        <f>('Статистика акций за год'!D53-'Статистика акций за год'!D54)/'Статистика акций за год'!D54</f>
        <v>-1.0725322668605666E-2</v>
      </c>
      <c r="E53" s="12">
        <f>('Статистика акций за год'!E53-'Статистика акций за год'!E54)/'Статистика акций за год'!E54</f>
        <v>-2.7001862197393771E-3</v>
      </c>
      <c r="F53" s="12">
        <f>('Статистика акций за год'!F53-'Статистика акций за год'!F54)/'Статистика акций за год'!F54</f>
        <v>-6.6738263270942353E-3</v>
      </c>
      <c r="G53" s="12">
        <f>('Статистика акций за год'!G53-'Статистика акций за год'!G54)/'Статистика акций за год'!G54</f>
        <v>-3.306205493387589E-3</v>
      </c>
      <c r="H53" s="12">
        <f>('Статистика акций за год'!H53-'Статистика акций за год'!H54)/'Статистика акций за год'!H54</f>
        <v>0</v>
      </c>
      <c r="I53" s="12">
        <f>('Статистика акций за год'!I53-'Статистика акций за год'!I54)/'Статистика акций за год'!I54</f>
        <v>-7.9471982758620389E-3</v>
      </c>
      <c r="J53" s="12">
        <f>('Статистика акций за год'!J53-'Статистика акций за год'!J54)/'Статистика акций за год'!J54</f>
        <v>2.222577550367761E-2</v>
      </c>
      <c r="K53" s="12">
        <f>('Статистика акций за год'!K53-'Статистика акций за год'!K54)/'Статистика акций за год'!K54</f>
        <v>-1.5284146172016207E-2</v>
      </c>
      <c r="L53" s="17">
        <v>0.126</v>
      </c>
      <c r="M53" s="50">
        <f t="shared" si="0"/>
        <v>3.2518033834527671E-4</v>
      </c>
    </row>
    <row r="54" spans="1:13" x14ac:dyDescent="0.25">
      <c r="A54" s="6">
        <v>45198</v>
      </c>
      <c r="B54" s="12">
        <f>('Статистика акций за год'!B54-'Статистика акций за год'!B55)/'Статистика акций за год'!B55</f>
        <v>1.6895969104513706E-3</v>
      </c>
      <c r="C54" s="12">
        <f>('Статистика акций за год'!C54-'Статистика акций за год'!C55)/'Статистика акций за год'!C55</f>
        <v>-1.4683335298973988E-2</v>
      </c>
      <c r="D54" s="12">
        <f>('Статистика акций за год'!D54-'Статистика акций за год'!D55)/'Статистика акций за год'!D55</f>
        <v>-6.6811123149150093E-3</v>
      </c>
      <c r="E54" s="12">
        <f>('Статистика акций за год'!E54-'Статистика акций за год'!E55)/'Статистика акций за год'!E55</f>
        <v>2.4267313795033685E-3</v>
      </c>
      <c r="F54" s="12">
        <f>('Статистика акций за год'!F54-'Статистика акций за год'!F55)/'Статистика акций за год'!F55</f>
        <v>1.1836845577676917E-2</v>
      </c>
      <c r="G54" s="12">
        <f>('Статистика акций за год'!G54-'Статистика акций за год'!G55)/'Статистика акций за год'!G55</f>
        <v>5.8838577641340496E-3</v>
      </c>
      <c r="H54" s="12">
        <f>('Статистика акций за год'!H54-'Статистика акций за год'!H55)/'Статистика акций за год'!H55</f>
        <v>-6.4034151547492906E-3</v>
      </c>
      <c r="I54" s="12">
        <f>('Статистика акций за год'!I54-'Статистика акций за год'!I55)/'Статистика акций за год'!I55</f>
        <v>-1.6037110669317459E-2</v>
      </c>
      <c r="J54" s="12">
        <f>('Статистика акций за год'!J54-'Статистика акций за год'!J55)/'Статистика акций за год'!J55</f>
        <v>9.6867936712948018E-3</v>
      </c>
      <c r="K54" s="12">
        <f>('Статистика акций за год'!K54-'Статистика акций за год'!K55)/'Статистика акций за год'!K55</f>
        <v>-3.4222187054912989E-3</v>
      </c>
      <c r="L54" s="17">
        <v>0.12570000000000001</v>
      </c>
      <c r="M54" s="50">
        <f t="shared" si="0"/>
        <v>3.2445005919234937E-4</v>
      </c>
    </row>
    <row r="55" spans="1:13" x14ac:dyDescent="0.25">
      <c r="A55" s="6">
        <v>45197</v>
      </c>
      <c r="B55" s="12">
        <f>('Статистика акций за год'!B55-'Статистика акций за год'!B56)/'Статистика акций за год'!B56</f>
        <v>-6.9511025886864614E-3</v>
      </c>
      <c r="C55" s="12">
        <f>('Статистика акций за год'!C55-'Статистика акций за год'!C56)/'Статистика акций за год'!C56</f>
        <v>2.4466864012565766E-2</v>
      </c>
      <c r="D55" s="12">
        <f>('Статистика акций за год'!D55-'Статистика акций за год'!D56)/'Статистика акций за год'!D56</f>
        <v>-1.8053800324972511E-4</v>
      </c>
      <c r="E55" s="12">
        <f>('Статистика акций за год'!E55-'Статистика акций за год'!E56)/'Статистика акций за год'!E56</f>
        <v>1.0850080196244928E-2</v>
      </c>
      <c r="F55" s="12">
        <f>('Статистика акций за год'!F55-'Статистика акций за год'!F56)/'Статистика акций за год'!F56</f>
        <v>6.1304178055446822E-3</v>
      </c>
      <c r="G55" s="12">
        <f>('Статистика акций за год'!G55-'Статистика акций за год'!G56)/'Статистика акций за год'!G56</f>
        <v>5.1427102082797632E-3</v>
      </c>
      <c r="H55" s="12">
        <f>('Статистика акций за год'!H55-'Статистика акций за год'!H56)/'Статистика акций за год'!H56</f>
        <v>5.3648068669527897E-3</v>
      </c>
      <c r="I55" s="12">
        <f>('Статистика акций за год'!I55-'Статистика акций за год'!I56)/'Статистика акций за год'!I56</f>
        <v>-1.7200317544323294E-3</v>
      </c>
      <c r="J55" s="12">
        <f>('Статистика акций за год'!J55-'Статистика акций за год'!J56)/'Статистика акций за год'!J56</f>
        <v>6.6634162197302506E-3</v>
      </c>
      <c r="K55" s="12">
        <f>('Статистика акций за год'!K55-'Статистика акций за год'!K56)/'Статистика акций за год'!K56</f>
        <v>1.1829226796901519E-2</v>
      </c>
      <c r="L55" s="17">
        <v>0.12540000000000001</v>
      </c>
      <c r="M55" s="50">
        <f t="shared" si="0"/>
        <v>3.2371958592669614E-4</v>
      </c>
    </row>
    <row r="56" spans="1:13" x14ac:dyDescent="0.25">
      <c r="A56" s="6">
        <v>45196</v>
      </c>
      <c r="B56" s="12">
        <f>('Статистика акций за год'!B56-'Статистика акций за год'!B57)/'Статистика акций за год'!B57</f>
        <v>3.5492678083891775E-2</v>
      </c>
      <c r="C56" s="12">
        <f>('Статистика акций за год'!C56-'Статистика акций за год'!C57)/'Статистика акций за год'!C57</f>
        <v>1.0280599903240656E-3</v>
      </c>
      <c r="D56" s="12">
        <f>('Статистика акций за год'!D56-'Статистика акций за год'!D57)/'Статистика акций за год'!D57</f>
        <v>1.3355287230149934E-2</v>
      </c>
      <c r="E56" s="12">
        <f>('Статистика акций за год'!E56-'Статистика акций за год'!E57)/'Статистика акций за год'!E57</f>
        <v>2.3365839528821129E-2</v>
      </c>
      <c r="F56" s="12">
        <f>('Статистика акций за год'!F56-'Статистика акций за год'!F57)/'Статистика акций за год'!F57</f>
        <v>8.9889396959400545E-4</v>
      </c>
      <c r="G56" s="12">
        <f>('Статистика акций за год'!G56-'Статистика акций за год'!G57)/'Статистика акций за год'!G57</f>
        <v>1.0654885654885655E-2</v>
      </c>
      <c r="H56" s="12">
        <f>('Статистика акций за год'!H56-'Статистика акций за год'!H57)/'Статистика акций за год'!H57</f>
        <v>6.4794816414687753E-3</v>
      </c>
      <c r="I56" s="12">
        <f>('Статистика акций за год'!I56-'Статистика акций за год'!I57)/'Статистика акций за год'!I57</f>
        <v>6.9277911004528795E-3</v>
      </c>
      <c r="J56" s="12">
        <f>('Статистика акций за год'!J56-'Статистика акций за год'!J57)/'Статистика акций за год'!J57</f>
        <v>1.9721577726218062E-2</v>
      </c>
      <c r="K56" s="12">
        <f>('Статистика акций за год'!K56-'Статистика акций за год'!K57)/'Статистика акций за год'!K57</f>
        <v>7.3110396699017336E-4</v>
      </c>
      <c r="L56" s="17">
        <v>0.1242</v>
      </c>
      <c r="M56" s="50">
        <f t="shared" si="0"/>
        <v>3.2079574966936697E-4</v>
      </c>
    </row>
    <row r="57" spans="1:13" x14ac:dyDescent="0.25">
      <c r="A57" s="6">
        <v>45195</v>
      </c>
      <c r="B57" s="12">
        <f>('Статистика акций за год'!B57-'Статистика акций за год'!B58)/'Статистика акций за год'!B58</f>
        <v>1.9895548371051553E-3</v>
      </c>
      <c r="C57" s="12">
        <f>('Статистика акций за год'!C57-'Статистика акций за год'!C58)/'Статистика акций за год'!C58</f>
        <v>-3.0746970519080659E-3</v>
      </c>
      <c r="D57" s="12">
        <f>('Статистика акций за год'!D57-'Статистика акций за год'!D58)/'Статистика акций за год'!D58</f>
        <v>1.2034808368820588E-2</v>
      </c>
      <c r="E57" s="12">
        <f>('Статистика акций за год'!E57-'Статистика акций за год'!E58)/'Статистика акций за год'!E58</f>
        <v>-5.3778930183423692E-3</v>
      </c>
      <c r="F57" s="12">
        <f>('Статистика акций за год'!F57-'Статистика акций за год'!F58)/'Статистика акций за год'!F58</f>
        <v>1.2744904017415392E-2</v>
      </c>
      <c r="G57" s="12">
        <f>('Статистика акций за год'!G57-'Статистика акций за год'!G58)/'Статистика акций за год'!G58</f>
        <v>3.3898305084745762E-3</v>
      </c>
      <c r="H57" s="12">
        <f>('Статистика акций за год'!H57-'Статистика акций за год'!H58)/'Статистика акций за год'!H58</f>
        <v>-2.4749868351764175E-2</v>
      </c>
      <c r="I57" s="12">
        <f>('Статистика акций за год'!I57-'Статистика акций за год'!I58)/'Статистика акций за год'!I58</f>
        <v>-7.9872204472846472E-4</v>
      </c>
      <c r="J57" s="12">
        <f>('Статистика акций за год'!J57-'Статистика акций за год'!J58)/'Статистика акций за год'!J58</f>
        <v>-1.9847833278201213E-3</v>
      </c>
      <c r="K57" s="12">
        <f>('Статистика акций за год'!K57-'Статистика акций за год'!K58)/'Статистика акций за год'!K58</f>
        <v>1.4040858899397018E-3</v>
      </c>
      <c r="L57" s="17">
        <v>0.1242</v>
      </c>
      <c r="M57" s="50">
        <f t="shared" si="0"/>
        <v>3.2079574966936697E-4</v>
      </c>
    </row>
    <row r="58" spans="1:13" x14ac:dyDescent="0.25">
      <c r="A58" s="6">
        <v>45194</v>
      </c>
      <c r="B58" s="12">
        <f>('Статистика акций за год'!B58-'Статистика акций за год'!B59)/'Статистика акций за год'!B59</f>
        <v>-1.9268292682926808E-2</v>
      </c>
      <c r="C58" s="12">
        <f>('Статистика акций за год'!C58-'Статистика акций за год'!C59)/'Статистика акций за год'!C59</f>
        <v>-4.9790041991600725E-3</v>
      </c>
      <c r="D58" s="12">
        <f>('Статистика акций за год'!D58-'Статистика акций за год'!D59)/'Статистика акций за год'!D59</f>
        <v>-3.7016472330174313E-4</v>
      </c>
      <c r="E58" s="12">
        <f>('Статистика акций за год'!E58-'Статистика акций за год'!E59)/'Статистика акций за год'!E59</f>
        <v>1.3134851138353765E-2</v>
      </c>
      <c r="F58" s="12">
        <f>('Статистика акций за год'!F58-'Статистика акций за год'!F59)/'Статистика акций за год'!F59</f>
        <v>2.619151553633067E-3</v>
      </c>
      <c r="G58" s="12">
        <f>('Статистика акций за год'!G58-'Статистика акций за год'!G59)/'Статистика акций за год'!G59</f>
        <v>0</v>
      </c>
      <c r="H58" s="12">
        <f>('Статистика акций за год'!H58-'Статистика акций за год'!H59)/'Статистика акций за год'!H59</f>
        <v>-2.1019442984761202E-3</v>
      </c>
      <c r="I58" s="12">
        <f>('Статистика акций за год'!I58-'Статистика акций за год'!I59)/'Статистика акций за год'!I59</f>
        <v>-1.5981137018600905E-2</v>
      </c>
      <c r="J58" s="12">
        <f>('Статистика акций за год'!J58-'Статистика акций за год'!J59)/'Статистика акций за год'!J59</f>
        <v>-1.0150622134904932E-2</v>
      </c>
      <c r="K58" s="12">
        <f>('Статистика акций за год'!K58-'Статистика акций за год'!K59)/'Статистика акций за год'!K59</f>
        <v>-2.90002900028998E-3</v>
      </c>
      <c r="L58" s="17">
        <v>0.12239999999999999</v>
      </c>
      <c r="M58" s="50">
        <f t="shared" si="0"/>
        <v>3.1640415429623481E-4</v>
      </c>
    </row>
    <row r="59" spans="1:13" x14ac:dyDescent="0.25">
      <c r="A59" s="6">
        <v>45191</v>
      </c>
      <c r="B59" s="12">
        <f>('Статистика акций за год'!B59-'Статистика акций за год'!B60)/'Статистика акций за год'!B60</f>
        <v>1.9139945314442037E-2</v>
      </c>
      <c r="C59" s="12">
        <f>('Статистика акций за год'!C59-'Статистика акций за год'!C60)/'Статистика акций за год'!C60</f>
        <v>5.1251130539643917E-3</v>
      </c>
      <c r="D59" s="12">
        <f>('Статистика акций за год'!D59-'Статистика акций за год'!D60)/'Статистика акций за год'!D60</f>
        <v>2.4118738404451845E-3</v>
      </c>
      <c r="E59" s="12">
        <f>('Статистика акций за год'!E59-'Статистика акций за год'!E60)/'Статистика акций за год'!E60</f>
        <v>1.1614173228346411E-2</v>
      </c>
      <c r="F59" s="12">
        <f>('Статистика акций за год'!F59-'Статистика акций за год'!F60)/'Статистика акций за год'!F60</f>
        <v>7.3153181963543836E-3</v>
      </c>
      <c r="G59" s="12">
        <f>('Статистика акций за год'!G59-'Статистика акций за год'!G60)/'Статистика акций за год'!G60</f>
        <v>1.8321826872012746E-2</v>
      </c>
      <c r="H59" s="12">
        <f>('Статистика акций за год'!H59-'Статистика акций за год'!H60)/'Статистика акций за год'!H60</f>
        <v>1.8191546281433952E-2</v>
      </c>
      <c r="I59" s="12">
        <f>('Статистика акций за год'!I59-'Статистика акций за год'!I60)/'Статистика акций за год'!I60</f>
        <v>3.5399430353994336E-2</v>
      </c>
      <c r="J59" s="12">
        <f>('Статистика акций за год'!J59-'Статистика акций за год'!J60)/'Статистика акций за год'!J60</f>
        <v>2.2088353413654505E-2</v>
      </c>
      <c r="K59" s="12">
        <f>('Статистика акций за год'!K59-'Статистика акций за год'!K60)/'Статистика акций за год'!K60</f>
        <v>1.2012711006760317E-2</v>
      </c>
      <c r="L59" s="17">
        <v>0.1229</v>
      </c>
      <c r="M59" s="50">
        <f t="shared" si="0"/>
        <v>3.1762474602348156E-4</v>
      </c>
    </row>
    <row r="60" spans="1:13" x14ac:dyDescent="0.25">
      <c r="A60" s="6">
        <v>45190</v>
      </c>
      <c r="B60" s="12">
        <f>('Статистика акций за год'!B60-'Статистика акций за год'!B61)/'Статистика акций за год'!B61</f>
        <v>2.242152466367621E-3</v>
      </c>
      <c r="C60" s="12">
        <f>('Статистика акций за год'!C60-'Статистика акций за год'!C61)/'Статистика акций за год'!C61</f>
        <v>-1.927739341257181E-2</v>
      </c>
      <c r="D60" s="12">
        <f>('Статистика акций за год'!D60-'Статистика акций за год'!D61)/'Статистика акций за год'!D61</f>
        <v>-1.6669753658084411E-3</v>
      </c>
      <c r="E60" s="12">
        <f>('Статистика акций за год'!E60-'Статистика акций за год'!E61)/'Статистика акций за год'!E61</f>
        <v>-4.0332483234155135E-2</v>
      </c>
      <c r="F60" s="12">
        <f>('Статистика акций за год'!F60-'Статистика акций за год'!F61)/'Статистика акций за год'!F61</f>
        <v>-1.4225479765141717E-2</v>
      </c>
      <c r="G60" s="12">
        <f>('Статистика акций за год'!G60-'Статистика акций за год'!G61)/'Статистика акций за год'!G61</f>
        <v>-1.0249671484888305E-2</v>
      </c>
      <c r="H60" s="12">
        <f>('Статистика акций за год'!H60-'Статистика акций за год'!H61)/'Статистика акций за год'!H61</f>
        <v>-1.579778830963665E-2</v>
      </c>
      <c r="I60" s="12">
        <f>('Статистика акций за год'!I60-'Статистика акций за год'!I61)/'Статистика акций за год'!I61</f>
        <v>-2.2667020148462384E-2</v>
      </c>
      <c r="J60" s="12">
        <f>('Статистика акций за год'!J60-'Статистика акций за год'!J61)/'Статистика акций за год'!J61</f>
        <v>-2.3210199411572298E-2</v>
      </c>
      <c r="K60" s="12">
        <f>('Статистика акций за год'!K60-'Статистика акций за год'!K61)/'Статистика акций за год'!K61</f>
        <v>-1.4383465996369181E-2</v>
      </c>
      <c r="L60" s="17">
        <v>0.12189999999999999</v>
      </c>
      <c r="M60" s="50">
        <f t="shared" si="0"/>
        <v>3.1518302019617472E-4</v>
      </c>
    </row>
    <row r="61" spans="1:13" x14ac:dyDescent="0.25">
      <c r="A61" s="6">
        <v>45189</v>
      </c>
      <c r="B61" s="12">
        <f>('Статистика акций за год'!B61-'Статистика акций за год'!B62)/'Статистика акций за год'!B62</f>
        <v>-2.7329192546583711E-3</v>
      </c>
      <c r="C61" s="12">
        <f>('Статистика акций за год'!C61-'Статистика акций за год'!C62)/'Статистика акций за год'!C62</f>
        <v>1.0655301012253999E-3</v>
      </c>
      <c r="D61" s="12">
        <f>('Статистика акций за год'!D61-'Статистика акций за год'!D62)/'Статистика акций за год'!D62</f>
        <v>-3.6907178446207787E-3</v>
      </c>
      <c r="E61" s="12">
        <f>('Статистика акций за год'!E61-'Статистика акций за год'!E62)/'Статистика акций за год'!E62</f>
        <v>-2.6930147058823489E-2</v>
      </c>
      <c r="F61" s="12">
        <f>('Статистика акций за год'!F61-'Статистика акций за год'!F62)/'Статистика акций за год'!F62</f>
        <v>4.1547958214625327E-3</v>
      </c>
      <c r="G61" s="12">
        <f>('Статистика акций за год'!G61-'Статистика акций за год'!G62)/'Статистика акций за год'!G62</f>
        <v>-1.2201453790238837E-2</v>
      </c>
      <c r="H61" s="12">
        <f>('Статистика акций за год'!H61-'Статистика акций за год'!H62)/'Статистика акций за год'!H62</f>
        <v>-2.626050420168067E-3</v>
      </c>
      <c r="I61" s="12">
        <f>('Статистика акций за год'!I61-'Статистика акций за год'!I62)/'Статистика акций за год'!I62</f>
        <v>1.5343203230148018E-2</v>
      </c>
      <c r="J61" s="12">
        <f>('Статистика акций за год'!J61-'Статистика акций за год'!J62)/'Статистика акций за год'!J62</f>
        <v>2.7864284543516337E-3</v>
      </c>
      <c r="K61" s="12">
        <f>('Статистика акций за год'!K61-'Статистика акций за год'!K62)/'Статистика акций за год'!K62</f>
        <v>-8.0729555987447954E-4</v>
      </c>
      <c r="L61" s="17">
        <v>0.12089999999999999</v>
      </c>
      <c r="M61" s="50">
        <f t="shared" si="0"/>
        <v>3.1273912294604855E-4</v>
      </c>
    </row>
    <row r="62" spans="1:13" x14ac:dyDescent="0.25">
      <c r="A62" s="6">
        <v>45188</v>
      </c>
      <c r="B62" s="12">
        <f>('Статистика акций за год'!B62-'Статистика акций за год'!B63)/'Статистика акций за год'!B63</f>
        <v>-3.0587668593449014E-2</v>
      </c>
      <c r="C62" s="12">
        <f>('Статистика акций за год'!C62-'Статистика акций за год'!C63)/'Статистика акций за год'!C63</f>
        <v>-2.2395833333333358E-2</v>
      </c>
      <c r="D62" s="12">
        <f>('Статистика акций за год'!D62-'Статистика акций за год'!D63)/'Статистика акций за год'!D63</f>
        <v>-1.4548099654482633E-2</v>
      </c>
      <c r="E62" s="12">
        <f>('Статистика акций за год'!E62-'Статистика акций за год'!E63)/'Статистика акций за год'!E63</f>
        <v>-2.3514629330461358E-2</v>
      </c>
      <c r="F62" s="12">
        <f>('Статистика акций за год'!F62-'Статистика акций за год'!F63)/'Статистика акций за год'!F63</f>
        <v>-2.4510749990350078E-2</v>
      </c>
      <c r="G62" s="12">
        <f>('Статистика акций за год'!G62-'Статистика акций за год'!G63)/'Статистика акций за год'!G63</f>
        <v>7.7942322681215901E-4</v>
      </c>
      <c r="H62" s="12">
        <f>('Статистика акций за год'!H62-'Статистика акций за год'!H63)/'Статистика акций за год'!H63</f>
        <v>-1.8050541516245487E-2</v>
      </c>
      <c r="I62" s="12">
        <f>('Статистика акций за год'!I62-'Статистика акций за год'!I63)/'Статистика акций за год'!I63</f>
        <v>-3.5064935064935063E-2</v>
      </c>
      <c r="J62" s="12">
        <f>('Статистика акций за год'!J62-'Статистика акций за год'!J63)/'Статистика акций за год'!J63</f>
        <v>-2.5710635579687037E-2</v>
      </c>
      <c r="K62" s="12">
        <f>('Статистика акций за год'!K62-'Статистика акций за год'!K63)/'Статистика акций за год'!K63</f>
        <v>-2.0663335025182486E-2</v>
      </c>
      <c r="L62" s="17">
        <v>0.1211</v>
      </c>
      <c r="M62" s="50">
        <f t="shared" si="0"/>
        <v>3.132280762956352E-4</v>
      </c>
    </row>
    <row r="63" spans="1:13" x14ac:dyDescent="0.25">
      <c r="A63" s="6">
        <v>45187</v>
      </c>
      <c r="B63" s="12">
        <f>('Статистика акций за год'!B63-'Статистика акций за год'!B64)/'Статистика акций за год'!B64</f>
        <v>-2.6423252462166569E-3</v>
      </c>
      <c r="C63" s="12">
        <f>('Статистика акций за год'!C63-'Статистика акций за год'!C64)/'Статистика акций за год'!C64</f>
        <v>-5.6965302951837316E-3</v>
      </c>
      <c r="D63" s="12">
        <f>('Статистика акций за год'!D63-'Статистика акций за год'!D64)/'Статистика акций за год'!D64</f>
        <v>-1.2569581612497755E-2</v>
      </c>
      <c r="E63" s="12">
        <f>('Статистика акций за год'!E63-'Статистика акций за год'!E64)/'Статистика акций за год'!E64</f>
        <v>-1.0127931769722693E-2</v>
      </c>
      <c r="F63" s="12">
        <f>('Статистика акций за год'!F63-'Статистика акций за год'!F64)/'Статистика акций за год'!F64</f>
        <v>-6.7476900663266922E-3</v>
      </c>
      <c r="G63" s="12">
        <f>('Статистика акций за год'!G63-'Статистика акций за год'!G64)/'Статистика акций за год'!G64</f>
        <v>-1.5097236438075742E-2</v>
      </c>
      <c r="H63" s="12">
        <f>('Статистика акций за год'!H63-'Статистика акций за год'!H64)/'Статистика акций за год'!H64</f>
        <v>-2.2681451612903226E-2</v>
      </c>
      <c r="I63" s="12">
        <f>('Статистика акций за год'!I63-'Статистика акций за год'!I64)/'Статистика акций за год'!I64</f>
        <v>-1.6225884757889414E-2</v>
      </c>
      <c r="J63" s="12">
        <f>('Статистика акций за год'!J63-'Статистика акций за год'!J64)/'Статистика акций за год'!J64</f>
        <v>1.8542615484710624E-2</v>
      </c>
      <c r="K63" s="12">
        <f>('Статистика акций за год'!K63-'Статистика акций за год'!K64)/'Статистика акций за год'!K64</f>
        <v>-4.4988582811058726E-3</v>
      </c>
      <c r="L63" s="17">
        <v>0.12130000000000001</v>
      </c>
      <c r="M63" s="50">
        <f t="shared" si="0"/>
        <v>3.137169426643549E-4</v>
      </c>
    </row>
    <row r="64" spans="1:13" x14ac:dyDescent="0.25">
      <c r="A64" s="6">
        <v>45184</v>
      </c>
      <c r="B64" s="12">
        <f>('Статистика акций за год'!B64-'Статистика акций за год'!B65)/'Статистика акций за год'!B65</f>
        <v>7.9903147699759182E-3</v>
      </c>
      <c r="C64" s="12">
        <f>('Статистика акций за год'!C64-'Статистика акций за год'!C65)/'Статистика акций за год'!C65</f>
        <v>1.5560165975102686E-3</v>
      </c>
      <c r="D64" s="12">
        <f>('Статистика акций за год'!D64-'Статистика акций за год'!D65)/'Статистика акций за год'!D65</f>
        <v>4.5093795093795099E-3</v>
      </c>
      <c r="E64" s="12">
        <f>('Статистика акций за год'!E64-'Статистика акций за год'!E65)/'Статистика акций за год'!E65</f>
        <v>1.1684342980406257E-2</v>
      </c>
      <c r="F64" s="12">
        <f>('Статистика акций за год'!F64-'Статистика акций за год'!F65)/'Статистика акций за год'!F65</f>
        <v>3.1923076923076311E-3</v>
      </c>
      <c r="G64" s="12">
        <f>('Статистика акций за год'!G64-'Статистика акций за год'!G65)/'Статистика акций за год'!G65</f>
        <v>2.3572551073860661E-2</v>
      </c>
      <c r="H64" s="12">
        <f>('Статистика акций за год'!H64-'Статистика акций за год'!H65)/'Статистика акций за год'!H65</f>
        <v>1.5143866733973315E-3</v>
      </c>
      <c r="I64" s="12">
        <f>('Статистика акций за год'!I64-'Статистика акций за год'!I65)/'Статистика акций за год'!I65</f>
        <v>6.9471246622926685E-3</v>
      </c>
      <c r="J64" s="12">
        <f>('Статистика акций за год'!J64-'Статистика акций за год'!J65)/'Статистика акций за год'!J65</f>
        <v>2.0414937759336026E-2</v>
      </c>
      <c r="K64" s="12">
        <f>('Статистика акций за год'!K64-'Статистика акций за год'!K65)/'Статистика акций за год'!K65</f>
        <v>1.0645088430831619E-2</v>
      </c>
      <c r="L64" s="17">
        <v>0.12180000000000001</v>
      </c>
      <c r="M64" s="50">
        <f t="shared" si="0"/>
        <v>3.14938728249059E-4</v>
      </c>
    </row>
    <row r="65" spans="1:13" x14ac:dyDescent="0.25">
      <c r="A65" s="6">
        <v>45183</v>
      </c>
      <c r="B65" s="12">
        <f>('Статистика акций за год'!B65-'Статистика акций за год'!B66)/'Статистика акций за год'!B66</f>
        <v>-1.361356579890137E-2</v>
      </c>
      <c r="C65" s="12">
        <f>('Статистика акций за год'!C65-'Статистика акций за год'!C66)/'Статистика акций за год'!C66</f>
        <v>-8.1170687092716794E-3</v>
      </c>
      <c r="D65" s="12">
        <f>('Статистика акций за год'!D65-'Статистика акций за год'!D66)/'Статистика акций за год'!D66</f>
        <v>-1.2610340479193758E-3</v>
      </c>
      <c r="E65" s="12">
        <f>('Статистика акций за год'!E65-'Статистика акций за год'!E66)/'Статистика акций за год'!E66</f>
        <v>2.0715122039088128E-3</v>
      </c>
      <c r="F65" s="12">
        <f>('Статистика акций за год'!F65-'Статистика акций за год'!F66)/'Статистика акций за год'!F66</f>
        <v>7.0493454179254515E-3</v>
      </c>
      <c r="G65" s="12">
        <f>('Статистика акций за год'!G65-'Статистика акций за год'!G66)/'Статистика акций за год'!G66</f>
        <v>-3.4639696586599239E-2</v>
      </c>
      <c r="H65" s="12">
        <f>('Статистика акций за год'!H65-'Статистика акций за год'!H66)/'Статистика акций за год'!H66</f>
        <v>-2.0151133501259732E-3</v>
      </c>
      <c r="I65" s="12">
        <f>('Статистика акций за год'!I65-'Статистика акций за год'!I66)/'Статистика акций за год'!I66</f>
        <v>-5.7559478127398311E-3</v>
      </c>
      <c r="J65" s="12">
        <f>('Статистика акций за год'!J65-'Статистика акций за год'!J66)/'Статистика акций за год'!J66</f>
        <v>-3.6381676864561687E-3</v>
      </c>
      <c r="K65" s="12">
        <f>('Статистика акций за год'!K65-'Статистика акций за год'!K66)/'Статистика акций за год'!K66</f>
        <v>-1.1973026730704064E-2</v>
      </c>
      <c r="L65" s="17">
        <v>0.11990000000000001</v>
      </c>
      <c r="M65" s="50">
        <f t="shared" si="0"/>
        <v>3.1029305040219946E-4</v>
      </c>
    </row>
    <row r="66" spans="1:13" x14ac:dyDescent="0.25">
      <c r="A66" s="6">
        <v>45182</v>
      </c>
      <c r="B66" s="12">
        <f>('Статистика акций за год'!B66-'Статистика акций за год'!B67)/'Статистика акций за год'!B67</f>
        <v>-1.5518457559369944E-2</v>
      </c>
      <c r="C66" s="12">
        <f>('Статистика акций за год'!C66-'Статистика акций за год'!C67)/'Статистика акций за год'!C67</f>
        <v>-1.508839094696547E-2</v>
      </c>
      <c r="D66" s="12">
        <f>('Статистика акций за год'!D66-'Статистика акций за год'!D67)/'Статистика акций за год'!D67</f>
        <v>-1.4207068016338127E-2</v>
      </c>
      <c r="E66" s="12">
        <f>('Статистика акций за год'!E66-'Статистика акций за год'!E67)/'Статистика акций за год'!E67</f>
        <v>-1.2188612099644169E-2</v>
      </c>
      <c r="F66" s="12">
        <f>('Статистика акций за год'!F66-'Статистика акций за год'!F67)/'Статистика акций за год'!F67</f>
        <v>-1.6082317073170621E-2</v>
      </c>
      <c r="G66" s="12">
        <f>('Статистика акций за год'!G66-'Статистика акций за год'!G67)/'Статистика акций за год'!G67</f>
        <v>1.4102564102564103E-2</v>
      </c>
      <c r="H66" s="12">
        <f>('Статистика акций за год'!H66-'Статистика акций за год'!H67)/'Статистика акций за год'!H67</f>
        <v>-2.6483570377636122E-2</v>
      </c>
      <c r="I66" s="12">
        <f>('Статистика акций за год'!I66-'Статистика акций за год'!I67)/'Статистика акций за год'!I67</f>
        <v>-1.6851106639839148E-2</v>
      </c>
      <c r="J66" s="12">
        <f>('Статистика акций за год'!J66-'Статистика акций за год'!J67)/'Статистика акций за год'!J67</f>
        <v>-3.1322123310253496E-3</v>
      </c>
      <c r="K66" s="12">
        <f>('Статистика акций за год'!K66-'Статистика акций за год'!K67)/'Статистика акций за год'!K67</f>
        <v>-1.8101271852522267E-2</v>
      </c>
      <c r="L66" s="17">
        <v>0.1186</v>
      </c>
      <c r="M66" s="50">
        <f t="shared" si="0"/>
        <v>3.0710989764748398E-4</v>
      </c>
    </row>
    <row r="67" spans="1:13" x14ac:dyDescent="0.25">
      <c r="A67" s="6">
        <v>45181</v>
      </c>
      <c r="B67" s="12">
        <f>('Статистика акций за год'!B67-'Статистика акций за год'!B68)/'Статистика акций за год'!B68</f>
        <v>1.9170860292355724E-2</v>
      </c>
      <c r="C67" s="12">
        <f>('Статистика акций за год'!C67-'Статистика акций за год'!C68)/'Статистика акций за год'!C68</f>
        <v>1.7063673843334966E-2</v>
      </c>
      <c r="D67" s="12">
        <f>('Статистика акций за год'!D67-'Статистика акций за год'!D68)/'Статистика акций за год'!D68</f>
        <v>9.1397849462365992E-3</v>
      </c>
      <c r="E67" s="12">
        <f>('Статистика акций за год'!E67-'Статистика акций за год'!E68)/'Статистика акций за год'!E68</f>
        <v>2.349298852667998E-2</v>
      </c>
      <c r="F67" s="12">
        <f>('Статистика акций за год'!F67-'Статистика акций за год'!F68)/'Статистика акций за год'!F68</f>
        <v>2.399999999999991E-2</v>
      </c>
      <c r="G67" s="12">
        <f>('Статистика акций за год'!G67-'Статистика акций за год'!G68)/'Статистика акций за год'!G68</f>
        <v>5.1546391752577319E-3</v>
      </c>
      <c r="H67" s="12">
        <f>('Статистика акций за год'!H67-'Статистика акций за год'!H68)/'Статистика акций за год'!H68</f>
        <v>4.350051177072671E-2</v>
      </c>
      <c r="I67" s="12">
        <f>('Статистика акций за год'!I67-'Статистика акций за год'!I68)/'Статистика акций за год'!I68</f>
        <v>3.0185257157662997E-2</v>
      </c>
      <c r="J67" s="12">
        <f>('Статистика акций за год'!J67-'Статистика акций за год'!J68)/'Статистика акций за год'!J68</f>
        <v>3.0931339225017073E-2</v>
      </c>
      <c r="K67" s="12">
        <f>('Статистика акций за год'!K67-'Статистика акций за год'!K68)/'Статистика акций за год'!K68</f>
        <v>1.5626511852927034E-2</v>
      </c>
      <c r="L67" s="17">
        <v>0.11799999999999999</v>
      </c>
      <c r="M67" s="50">
        <f t="shared" si="0"/>
        <v>3.0563950572615184E-4</v>
      </c>
    </row>
    <row r="68" spans="1:13" x14ac:dyDescent="0.25">
      <c r="A68" s="6">
        <v>45180</v>
      </c>
      <c r="B68" s="12">
        <f>('Статистика акций за год'!B68-'Статистика акций за год'!B69)/'Статистика акций за год'!B69</f>
        <v>-1.5801886792452872E-2</v>
      </c>
      <c r="C68" s="12">
        <f>('Статистика акций за год'!C68-'Статистика акций за год'!C69)/'Статистика акций за год'!C69</f>
        <v>-7.4452969593634686E-3</v>
      </c>
      <c r="D68" s="12">
        <f>('Статистика акций за год'!D68-'Статистика акций за год'!D69)/'Статистика акций за год'!D69</f>
        <v>-5.7020669992873226E-3</v>
      </c>
      <c r="E68" s="12">
        <f>('Статистика акций за год'!E68-'Статистика акций за год'!E69)/'Статистика акций за год'!E69</f>
        <v>-1.5861636347342993E-2</v>
      </c>
      <c r="F68" s="12">
        <f>('Статистика акций за год'!F68-'Статистика акций за год'!F69)/'Статистика акций за год'!F69</f>
        <v>2.2293491864830771E-3</v>
      </c>
      <c r="G68" s="12">
        <f>('Статистика акций за год'!G68-'Статистика акций за год'!G69)/'Статистика акций за год'!G69</f>
        <v>3.6213140196585617E-3</v>
      </c>
      <c r="H68" s="12">
        <f>('Статистика акций за год'!H68-'Статистика акций за год'!H69)/'Статистика акций за год'!H69</f>
        <v>1.9300991131977138E-2</v>
      </c>
      <c r="I68" s="12">
        <f>('Статистика акций за год'!I68-'Статистика акций за год'!I69)/'Статистика акций за год'!I69</f>
        <v>-3.0276381909547768E-2</v>
      </c>
      <c r="J68" s="12">
        <f>('Статистика акций за год'!J68-'Статистика акций за год'!J69)/'Статистика акций за год'!J69</f>
        <v>-1.1922753988245211E-2</v>
      </c>
      <c r="K68" s="12">
        <f>('Статистика акций за год'!K68-'Статистика акций за год'!K69)/'Статистика акций за год'!K69</f>
        <v>2.084156459897276E-2</v>
      </c>
      <c r="L68" s="17">
        <v>0.1206</v>
      </c>
      <c r="M68" s="50">
        <f t="shared" si="0"/>
        <v>3.1200552976518026E-4</v>
      </c>
    </row>
    <row r="69" spans="1:13" x14ac:dyDescent="0.25">
      <c r="A69" s="6">
        <v>45177</v>
      </c>
      <c r="B69" s="12">
        <f>('Статистика акций за год'!B69-'Статистика акций за год'!B70)/'Статистика акций за год'!B70</f>
        <v>-3.2910202162670563E-3</v>
      </c>
      <c r="C69" s="12">
        <f>('Статистика акций за год'!C69-'Статистика акций за год'!C70)/'Статистика акций за год'!C70</f>
        <v>-9.5136230578698362E-3</v>
      </c>
      <c r="D69" s="12">
        <f>('Статистика акций за год'!D69-'Статистика акций за год'!D70)/'Статистика акций за год'!D70</f>
        <v>-9.8800282286519228E-3</v>
      </c>
      <c r="E69" s="12">
        <f>('Статистика акций за год'!E69-'Статистика акций за год'!E70)/'Статистика акций за год'!E70</f>
        <v>-1.1778250088558231E-2</v>
      </c>
      <c r="F69" s="12">
        <f>('Статистика акций за год'!F69-'Статистика акций за год'!F70)/'Статистика акций за год'!F70</f>
        <v>-1.2017465898991511E-2</v>
      </c>
      <c r="G69" s="12">
        <f>('Статистика акций за год'!G69-'Статистика акций за год'!G70)/'Статистика акций за год'!G70</f>
        <v>-1.0747185261003071E-2</v>
      </c>
      <c r="H69" s="12">
        <f>('Статистика акций за год'!H69-'Статистика акций за год'!H70)/'Статистика акций за год'!H70</f>
        <v>-1.9437340153452744E-2</v>
      </c>
      <c r="I69" s="12">
        <f>('Статистика акций за год'!I69-'Статистика акций за год'!I70)/'Статистика акций за год'!I70</f>
        <v>-8.8407421242684883E-3</v>
      </c>
      <c r="J69" s="12">
        <f>('Статистика акций за год'!J69-'Статистика акций за год'!J70)/'Статистика акций за год'!J70</f>
        <v>-1.3582905416597723E-2</v>
      </c>
      <c r="K69" s="12">
        <f>('Статистика акций за год'!K69-'Статистика акций за год'!K70)/'Статистика акций за год'!K70</f>
        <v>-1.6271387012474507E-3</v>
      </c>
      <c r="L69" s="17">
        <v>0.12089999999999999</v>
      </c>
      <c r="M69" s="50">
        <f t="shared" ref="M69:M132" si="1">POWER(L69+1,1/365)-1</f>
        <v>3.1273912294604855E-4</v>
      </c>
    </row>
    <row r="70" spans="1:13" x14ac:dyDescent="0.25">
      <c r="A70" s="6">
        <v>45176</v>
      </c>
      <c r="B70" s="12">
        <f>('Статистика акций за год'!B70-'Статистика акций за год'!B71)/'Статистика акций за год'!B71</f>
        <v>-2.7657142857142877E-2</v>
      </c>
      <c r="C70" s="12">
        <f>('Статистика акций за год'!C70-'Статистика акций за год'!C71)/'Статистика акций за год'!C71</f>
        <v>-1.8346595932802946E-2</v>
      </c>
      <c r="D70" s="12">
        <f>('Статистика акций за год'!D70-'Статистика акций за год'!D71)/'Статистика акций за год'!D71</f>
        <v>-1.2887495646116492E-2</v>
      </c>
      <c r="E70" s="12">
        <f>('Статистика акций за год'!E70-'Статистика акций за год'!E71)/'Статистика акций за год'!E71</f>
        <v>-2.4533517622667471E-2</v>
      </c>
      <c r="F70" s="12">
        <f>('Статистика акций за год'!F70-'Статистика акций за год'!F71)/'Статистика акций за год'!F71</f>
        <v>-1.7874762808349067E-2</v>
      </c>
      <c r="G70" s="12">
        <f>('Статистика акций за год'!G70-'Статистика акций за год'!G71)/'Статистика акций за год'!G71</f>
        <v>-4.5665445665445663E-2</v>
      </c>
      <c r="H70" s="12">
        <f>('Статистика акций за год'!H70-'Статистика акций за год'!H71)/'Статистика акций за год'!H71</f>
        <v>-2.3964053919121372E-2</v>
      </c>
      <c r="I70" s="12">
        <f>('Статистика акций за год'!I70-'Статистика акций за год'!I71)/'Статистика акций за год'!I71</f>
        <v>-2.7252906976744186E-2</v>
      </c>
      <c r="J70" s="12">
        <f>('Статистика акций за год'!J70-'Статистика акций за год'!J71)/'Статистика акций за год'!J71</f>
        <v>-8.3771353482258691E-3</v>
      </c>
      <c r="K70" s="12">
        <f>('Статистика акций за год'!K70-'Статистика акций за год'!K71)/'Статистика акций за год'!K71</f>
        <v>-2.3618787190201981E-2</v>
      </c>
      <c r="L70" s="17">
        <v>0.1192</v>
      </c>
      <c r="M70" s="50">
        <f t="shared" si="1"/>
        <v>3.08579503243811E-4</v>
      </c>
    </row>
    <row r="71" spans="1:13" x14ac:dyDescent="0.25">
      <c r="A71" s="6">
        <v>45175</v>
      </c>
      <c r="B71" s="12">
        <f>('Статистика акций за год'!B71-'Статистика акций за год'!B72)/'Статистика акций за год'!B72</f>
        <v>-6.5849227974568384E-3</v>
      </c>
      <c r="C71" s="12">
        <f>('Статистика акций за год'!C71-'Статистика акций за год'!C72)/'Статистика акций за год'!C72</f>
        <v>-8.3296799649275645E-3</v>
      </c>
      <c r="D71" s="12">
        <f>('Статистика акций за год'!D71-'Статистика акций за год'!D72)/'Статистика акций за год'!D72</f>
        <v>-1.7385257301808065E-3</v>
      </c>
      <c r="E71" s="12">
        <f>('Статистика акций за год'!E71-'Статистика акций за год'!E72)/'Статистика акций за год'!E72</f>
        <v>7.6601671309191807E-3</v>
      </c>
      <c r="F71" s="12">
        <f>('Статистика акций за год'!F71-'Статистика акций за год'!F72)/'Статистика акций за год'!F72</f>
        <v>-4.721435316336166E-3</v>
      </c>
      <c r="G71" s="12">
        <f>('Статистика акций за год'!G71-'Статистика акций за год'!G72)/'Статистика акций за год'!G72</f>
        <v>6.8846815834767644E-3</v>
      </c>
      <c r="H71" s="12">
        <f>('Статистика акций за год'!H71-'Статистика акций за год'!H72)/'Статистика акций за год'!H72</f>
        <v>-1.4271653543306976E-2</v>
      </c>
      <c r="I71" s="12">
        <f>('Статистика акций за год'!I71-'Статистика акций за год'!I72)/'Статистика акций за год'!I72</f>
        <v>-1.2440191387559781E-2</v>
      </c>
      <c r="J71" s="12">
        <f>('Статистика акций за год'!J71-'Статистика акций за год'!J72)/'Статистика акций за год'!J72</f>
        <v>2.6350461133068329E-3</v>
      </c>
      <c r="K71" s="12">
        <f>('Статистика акций за год'!K71-'Статистика акций за год'!K72)/'Статистика акций за год'!K72</f>
        <v>-1.1807914442573271E-2</v>
      </c>
      <c r="L71" s="17">
        <v>0.1158</v>
      </c>
      <c r="M71" s="50">
        <f t="shared" si="1"/>
        <v>3.0024132759742805E-4</v>
      </c>
    </row>
    <row r="72" spans="1:13" x14ac:dyDescent="0.25">
      <c r="A72" s="6">
        <v>45174</v>
      </c>
      <c r="B72" s="12">
        <f>('Статистика акций за год'!B72-'Статистика акций за год'!B73)/'Статистика акций за год'!B73</f>
        <v>-2.2655188038061039E-3</v>
      </c>
      <c r="C72" s="12">
        <f>('Статистика акций за год'!C72-'Статистика акций за год'!C73)/'Статистика акций за год'!C73</f>
        <v>7.5644635856660369E-3</v>
      </c>
      <c r="D72" s="12">
        <f>('Статистика акций за год'!D72-'Статистика акций за год'!D73)/'Статистика акций за год'!D73</f>
        <v>-3.4758428919001006E-4</v>
      </c>
      <c r="E72" s="12">
        <f>('Статистика акций за год'!E72-'Статистика акций за год'!E73)/'Статистика акций за год'!E73</f>
        <v>1.2604671661524861E-2</v>
      </c>
      <c r="F72" s="12">
        <f>('Статистика акций за год'!F72-'Статистика акций за год'!F73)/'Статистика акций за год'!F73</f>
        <v>-9.8732188937506512E-3</v>
      </c>
      <c r="G72" s="12">
        <f>('Статистика акций за год'!G72-'Статистика акций за год'!G73)/'Статистика акций за год'!G73</f>
        <v>3.8825031928480205E-2</v>
      </c>
      <c r="H72" s="12">
        <f>('Статистика акций за год'!H72-'Статистика акций за год'!H73)/'Статистика акций за год'!H73</f>
        <v>8.4367245657567674E-3</v>
      </c>
      <c r="I72" s="12">
        <f>('Статистика акций за год'!I72-'Статистика акций за год'!I73)/'Статистика акций за год'!I73</f>
        <v>-5.5905792791721724E-3</v>
      </c>
      <c r="J72" s="12">
        <f>('Статистика акций за год'!J72-'Статистика акций за год'!J73)/'Статистика акций за год'!J73</f>
        <v>7.8008298755187474E-3</v>
      </c>
      <c r="K72" s="12">
        <f>('Статистика акций за год'!K72-'Статистика акций за год'!K73)/'Статистика акций за год'!K73</f>
        <v>-1.1679408694670984E-2</v>
      </c>
      <c r="L72" s="17">
        <v>0.1106</v>
      </c>
      <c r="M72" s="50">
        <f t="shared" si="1"/>
        <v>2.8743968595512648E-4</v>
      </c>
    </row>
    <row r="73" spans="1:13" x14ac:dyDescent="0.25">
      <c r="A73" s="6">
        <v>45173</v>
      </c>
      <c r="B73" s="12">
        <f>('Статистика акций за год'!B73-'Статистика акций за год'!B74)/'Статистика акций за год'!B74</f>
        <v>2.9538741195183496E-3</v>
      </c>
      <c r="C73" s="12">
        <f>('Статистика акций за год'!C73-'Статистика акций за год'!C74)/'Статистика акций за год'!C74</f>
        <v>1.6215912916619991E-2</v>
      </c>
      <c r="D73" s="12">
        <f>('Статистика акций за год'!D73-'Статистика акций за год'!D74)/'Статистика акций за год'!D74</f>
        <v>1.4099400775467043E-2</v>
      </c>
      <c r="E73" s="12">
        <f>('Статистика акций за год'!E73-'Статистика акций за год'!E74)/'Статистика акций за год'!E74</f>
        <v>1.4486273808459309E-2</v>
      </c>
      <c r="F73" s="12">
        <f>('Статистика акций за год'!F73-'Статистика акций за год'!F74)/'Статистика акций за год'!F74</f>
        <v>9.0188679245282507E-3</v>
      </c>
      <c r="G73" s="12">
        <f>('Статистика акций за год'!G73-'Статистика акций за год'!G74)/'Статистика акций за год'!G74</f>
        <v>1.6091357383856735E-2</v>
      </c>
      <c r="H73" s="12">
        <f>('Статистика акций за год'!H73-'Статистика акций за год'!H74)/'Статистика акций за год'!H74</f>
        <v>2.1805273833671458E-2</v>
      </c>
      <c r="I73" s="12">
        <f>('Статистика акций за год'!I73-'Статистика акций за год'!I74)/'Статистика акций за год'!I74</f>
        <v>1.9030303030303085E-2</v>
      </c>
      <c r="J73" s="12">
        <f>('Статистика акций за год'!J73-'Статистика акций за год'!J74)/'Статистика акций за год'!J74</f>
        <v>1.6020236087689713E-2</v>
      </c>
      <c r="K73" s="12">
        <f>('Статистика акций за год'!K73-'Статистика акций за год'!K74)/'Статистика акций за год'!K74</f>
        <v>7.5608993490804861E-3</v>
      </c>
      <c r="L73" s="17">
        <v>0.10730000000000001</v>
      </c>
      <c r="M73" s="50">
        <f t="shared" si="1"/>
        <v>2.7928452614811583E-4</v>
      </c>
    </row>
    <row r="74" spans="1:13" x14ac:dyDescent="0.25">
      <c r="A74" s="6">
        <v>45170</v>
      </c>
      <c r="B74" s="12">
        <f>('Статистика акций за год'!B74-'Статистика акций за год'!B75)/'Статистика акций за год'!B75</f>
        <v>-2.2716946842356008E-4</v>
      </c>
      <c r="C74" s="12">
        <f>('Статистика акций за год'!C74-'Статистика акций за год'!C75)/'Статистика акций за год'!C75</f>
        <v>1.2922074273835032E-3</v>
      </c>
      <c r="D74" s="12">
        <f>('Статистика акций за год'!D74-'Статистика акций за год'!D75)/'Статистика акций за год'!D75</f>
        <v>-1.4079549454418657E-3</v>
      </c>
      <c r="E74" s="12">
        <f>('Статистика акций за год'!E74-'Статистика акций за год'!E75)/'Статистика акций за год'!E75</f>
        <v>5.3942281758518383E-3</v>
      </c>
      <c r="F74" s="12">
        <f>('Статистика акций за год'!F74-'Статистика акций за год'!F75)/'Статистика акций за год'!F75</f>
        <v>5.6635831602785448E-4</v>
      </c>
      <c r="G74" s="12">
        <f>('Статистика акций за год'!G74-'Статистика акций за год'!G75)/'Статистика акций за год'!G75</f>
        <v>1.4481305950500263E-2</v>
      </c>
      <c r="H74" s="12">
        <f>('Статистика акций за год'!H74-'Статистика акций за год'!H75)/'Статистика акций за год'!H75</f>
        <v>6.1224489795917783E-3</v>
      </c>
      <c r="I74" s="12">
        <f>('Статистика акций за год'!I74-'Статистика акций за год'!I75)/'Статистика акций за год'!I75</f>
        <v>-2.4183796856106408E-3</v>
      </c>
      <c r="J74" s="12">
        <f>('Статистика акций за год'!J74-'Статистика акций за год'!J75)/'Статистика акций за год'!J75</f>
        <v>4.7441545238901296E-3</v>
      </c>
      <c r="K74" s="12">
        <f>('Статистика акций за год'!K74-'Статистика акций за год'!K75)/'Статистика акций за год'!K75</f>
        <v>-3.531066778704088E-3</v>
      </c>
      <c r="L74" s="17">
        <v>0.1062</v>
      </c>
      <c r="M74" s="50">
        <f t="shared" si="1"/>
        <v>2.7656075252857626E-4</v>
      </c>
    </row>
    <row r="75" spans="1:13" x14ac:dyDescent="0.25">
      <c r="A75" s="6">
        <v>45169</v>
      </c>
      <c r="B75" s="12">
        <f>('Статистика акций за год'!B75-'Статистика акций за год'!B76)/'Статистика акций за год'!B76</f>
        <v>-2.2665457842247125E-3</v>
      </c>
      <c r="C75" s="12">
        <f>('Статистика акций за год'!C75-'Статистика акций за год'!C76)/'Статистика акций за год'!C76</f>
        <v>2.9300726883417492E-3</v>
      </c>
      <c r="D75" s="12">
        <f>('Статистика акций за год'!D75-'Статистика акций за год'!D76)/'Статистика акций за год'!D76</f>
        <v>-7.1640747859512653E-3</v>
      </c>
      <c r="E75" s="12">
        <f>('Статистика акций за год'!E75-'Статистика акций за год'!E76)/'Статистика акций за год'!E76</f>
        <v>-1.3467408870533311E-3</v>
      </c>
      <c r="F75" s="12">
        <f>('Статистика акций за год'!F75-'Статистика акций за год'!F76)/'Статистика акций за год'!F76</f>
        <v>5.6667925953922979E-4</v>
      </c>
      <c r="G75" s="12">
        <f>('Статистика акций за год'!G75-'Статистика акций за год'!G76)/'Статистика акций за год'!G76</f>
        <v>-1.0937499999999999E-2</v>
      </c>
      <c r="H75" s="12">
        <f>('Статистика акций за год'!H75-'Статистика акций за год'!H76)/'Статистика акций за год'!H76</f>
        <v>-1.060070671378089E-2</v>
      </c>
      <c r="I75" s="12">
        <f>('Статистика акций за год'!I75-'Статистика акций за год'!I76)/'Статистика акций за год'!I76</f>
        <v>-6.9644572526416362E-3</v>
      </c>
      <c r="J75" s="12">
        <f>('Статистика акций за год'!J75-'Статистика акций за год'!J76)/'Статистика акций за год'!J76</f>
        <v>1.357312521208124E-3</v>
      </c>
      <c r="K75" s="12">
        <f>('Статистика акций за год'!K75-'Статистика акций за год'!K76)/'Статистика акций за год'!K76</f>
        <v>6.758169686139695E-3</v>
      </c>
      <c r="L75" s="17">
        <v>0.1051</v>
      </c>
      <c r="M75" s="50">
        <f t="shared" si="1"/>
        <v>2.7383427648186576E-4</v>
      </c>
    </row>
    <row r="76" spans="1:13" x14ac:dyDescent="0.25">
      <c r="A76" s="6">
        <v>45168</v>
      </c>
      <c r="B76" s="12">
        <f>('Статистика акций за год'!B76-'Статистика акций за год'!B77)/'Статистика акций за год'!B77</f>
        <v>-5.8584948174854688E-3</v>
      </c>
      <c r="C76" s="12">
        <f>('Статистика акций за год'!C76-'Статистика акций за год'!C77)/'Статистика акций за год'!C77</f>
        <v>-6.8274665622026914E-3</v>
      </c>
      <c r="D76" s="12">
        <f>('Статистика акций за год'!D76-'Статистика акций за год'!D77)/'Статистика акций за год'!D77</f>
        <v>-6.5960770699532512E-3</v>
      </c>
      <c r="E76" s="12">
        <f>('Статистика акций за год'!E76-'Статистика акций за год'!E77)/'Статистика акций за год'!E77</f>
        <v>-2.5076123947697965E-3</v>
      </c>
      <c r="F76" s="12">
        <f>('Статистика акций за год'!F76-'Статистика акций за год'!F77)/'Статистика акций за год'!F77</f>
        <v>-3.6886479975911553E-3</v>
      </c>
      <c r="G76" s="12">
        <f>('Статистика акций за год'!G76-'Статистика акций за год'!G77)/'Статистика акций за год'!G77</f>
        <v>2.0733652312599681E-2</v>
      </c>
      <c r="H76" s="12">
        <f>('Статистика акций за год'!H76-'Статистика акций за год'!H77)/'Статистика акций за год'!H77</f>
        <v>-4.067796610169494E-2</v>
      </c>
      <c r="I76" s="12">
        <f>('Статистика акций за год'!I76-'Статистика акций за год'!I77)/'Статистика акций за год'!I77</f>
        <v>-1.2099644128113932E-2</v>
      </c>
      <c r="J76" s="12">
        <f>('Статистика акций за год'!J76-'Статистика акций за год'!J77)/'Статистика акций за год'!J77</f>
        <v>4.9445865302642404E-3</v>
      </c>
      <c r="K76" s="12">
        <f>('Статистика акций за год'!K76-'Статистика акций за год'!K77)/'Статистика акций за год'!K77</f>
        <v>-7.4718390913036782E-3</v>
      </c>
      <c r="L76" s="17">
        <v>0.1052</v>
      </c>
      <c r="M76" s="50">
        <f t="shared" si="1"/>
        <v>2.7408224975244977E-4</v>
      </c>
    </row>
    <row r="77" spans="1:13" x14ac:dyDescent="0.25">
      <c r="A77" s="6">
        <v>45167</v>
      </c>
      <c r="B77" s="12">
        <f>('Статистика акций за год'!B77-'Статистика акций за год'!B78)/'Статистика акций за год'!B78</f>
        <v>-8.9325591782045237E-3</v>
      </c>
      <c r="C77" s="12">
        <f>('Статистика акций за год'!C77-'Статистика акций за год'!C78)/'Статистика акций за год'!C78</f>
        <v>1.4131668558456352E-2</v>
      </c>
      <c r="D77" s="12">
        <f>('Статистика акций за год'!D77-'Статистика акций за год'!D78)/'Статистика акций за год'!D78</f>
        <v>-7.2376357056693642E-3</v>
      </c>
      <c r="E77" s="12">
        <f>('Статистика акций за год'!E77-'Статистика акций за год'!E78)/'Статистика акций за год'!E78</f>
        <v>2.3370910090734123E-2</v>
      </c>
      <c r="F77" s="12">
        <f>('Статистика акций за год'!F77-'Статистика акций за год'!F78)/'Статистика акций за год'!F78</f>
        <v>-4.6828756602854682E-3</v>
      </c>
      <c r="G77" s="12">
        <f>('Статистика акций за год'!G77-'Статистика акций за год'!G78)/'Статистика акций за год'!G78</f>
        <v>3.735325506937033E-3</v>
      </c>
      <c r="H77" s="12">
        <f>('Статистика акций за год'!H77-'Статистика акций за год'!H78)/'Статистика акций за год'!H78</f>
        <v>-3.8591413410516708E-3</v>
      </c>
      <c r="I77" s="12">
        <f>('Статистика акций за год'!I77-'Статистика акций за год'!I78)/'Статистика акций за год'!I78</f>
        <v>-1.4035087719298246E-2</v>
      </c>
      <c r="J77" s="12">
        <f>('Статистика акций за год'!J77-'Статистика акций за год'!J78)/'Статистика акций за год'!J78</f>
        <v>-1.7021276595744681E-3</v>
      </c>
      <c r="K77" s="12">
        <f>('Статистика акций за год'!K77-'Статистика акций за год'!K78)/'Статистика акций за год'!K78</f>
        <v>1.8998648354868199E-3</v>
      </c>
      <c r="L77" s="17">
        <v>0.105</v>
      </c>
      <c r="M77" s="50">
        <f t="shared" si="1"/>
        <v>2.7358628083273828E-4</v>
      </c>
    </row>
    <row r="78" spans="1:13" x14ac:dyDescent="0.25">
      <c r="A78" s="6">
        <v>45166</v>
      </c>
      <c r="B78" s="12">
        <f>('Статистика акций за год'!B78-'Статистика акций за год'!B79)/'Статистика акций за год'!B79</f>
        <v>9.9233198015335512E-3</v>
      </c>
      <c r="C78" s="12">
        <f>('Статистика акций за год'!C78-'Статистика акций за год'!C79)/'Статистика акций за год'!C79</f>
        <v>8.5861476817401267E-3</v>
      </c>
      <c r="D78" s="12">
        <f>('Статистика акций за год'!D78-'Статистика акций за год'!D79)/'Статистика акций за год'!D79</f>
        <v>3.9792387543251808E-3</v>
      </c>
      <c r="E78" s="12">
        <f>('Статистика акций за год'!E78-'Статистика акций за год'!E79)/'Статистика акций за год'!E79</f>
        <v>1.2433886981534623E-2</v>
      </c>
      <c r="F78" s="12">
        <f>('Статистика акций за год'!F78-'Статистика акций за год'!F79)/'Статистика акций за год'!F79</f>
        <v>2.4683301343570083E-2</v>
      </c>
      <c r="G78" s="12">
        <f>('Статистика акций за год'!G78-'Статистика акций за год'!G79)/'Статистика акций за год'!G79</f>
        <v>1.1879049676025918E-2</v>
      </c>
      <c r="H78" s="12">
        <f>('Статистика акций за год'!H78-'Статистика акций за год'!H79)/'Статистика акций за год'!H79</f>
        <v>-7.1839080459770114E-3</v>
      </c>
      <c r="I78" s="12">
        <f>('Статистика акций за год'!I78-'Статистика акций за год'!I79)/'Статистика акций за год'!I79</f>
        <v>1.7251635930993457E-2</v>
      </c>
      <c r="J78" s="12">
        <f>('Статистика акций за год'!J78-'Статистика акций за год'!J79)/'Статистика акций за год'!J79</f>
        <v>-3.4030968181052488E-4</v>
      </c>
      <c r="K78" s="12">
        <f>('Статистика акций за год'!K78-'Статистика акций за год'!K79)/'Статистика акций за год'!K79</f>
        <v>1.3536557326793484E-2</v>
      </c>
      <c r="L78" s="17">
        <v>0.10440000000000001</v>
      </c>
      <c r="M78" s="50">
        <f t="shared" si="1"/>
        <v>2.7209783676251931E-4</v>
      </c>
    </row>
    <row r="79" spans="1:13" x14ac:dyDescent="0.25">
      <c r="A79" s="6">
        <v>45163</v>
      </c>
      <c r="B79" s="12">
        <f>('Статистика акций за год'!B79-'Статистика акций за год'!B80)/'Статистика акций за год'!B80</f>
        <v>-2.9233190915222726E-3</v>
      </c>
      <c r="C79" s="12">
        <f>('Статистика акций за год'!C79-'Статистика акций за год'!C80)/'Статистика акций за год'!C80</f>
        <v>-1.5431216780020017E-3</v>
      </c>
      <c r="D79" s="12">
        <f>('Статистика акций за год'!D79-'Статистика акций за год'!D80)/'Статистика акций за год'!D80</f>
        <v>1.2125411397887504E-3</v>
      </c>
      <c r="E79" s="12">
        <f>('Статистика акций за год'!E79-'Статистика акций за год'!E80)/'Статистика акций за год'!E80</f>
        <v>-1.7599110781769765E-3</v>
      </c>
      <c r="F79" s="12">
        <f>('Статистика акций за год'!F79-'Статистика акций за год'!F80)/'Статистика акций за год'!F80</f>
        <v>3.3509224665870837E-3</v>
      </c>
      <c r="G79" s="12">
        <f>('Статистика акций за год'!G79-'Статистика акций за год'!G80)/'Статистика акций за год'!G80</f>
        <v>3.2502708559046588E-3</v>
      </c>
      <c r="H79" s="12">
        <f>('Статистика акций за год'!H79-'Статистика акций за год'!H80)/'Статистика акций за год'!H80</f>
        <v>-4.0441176470588161E-2</v>
      </c>
      <c r="I79" s="12">
        <f>('Статистика акций за год'!I79-'Статистика акций за год'!I80)/'Статистика акций за год'!I80</f>
        <v>2.3852116875372688E-3</v>
      </c>
      <c r="J79" s="12">
        <f>('Статистика акций за год'!J79-'Статистика акций за год'!J80)/'Статистика акций за год'!J80</f>
        <v>1.0488308115543368E-2</v>
      </c>
      <c r="K79" s="12">
        <f>('Статистика акций за год'!K79-'Статистика акций за год'!K80)/'Статистика акций за год'!K80</f>
        <v>3.1624038102167419E-4</v>
      </c>
      <c r="L79" s="17">
        <v>0.1043</v>
      </c>
      <c r="M79" s="50">
        <f t="shared" si="1"/>
        <v>2.7184968435034484E-4</v>
      </c>
    </row>
    <row r="80" spans="1:13" x14ac:dyDescent="0.25">
      <c r="A80" s="6">
        <v>45162</v>
      </c>
      <c r="B80" s="12">
        <f>('Статистика акций за год'!B80-'Статистика акций за год'!B81)/'Статистика акций за год'!B81</f>
        <v>7.4762120525599975E-3</v>
      </c>
      <c r="C80" s="12">
        <f>('Статистика акций за год'!C80-'Статистика акций за год'!C81)/'Статистика акций за год'!C81</f>
        <v>7.6014972646126873E-3</v>
      </c>
      <c r="D80" s="12">
        <f>('Статистика акций за год'!D80-'Статистика акций за год'!D81)/'Статистика акций за год'!D81</f>
        <v>1.1033274956217084E-2</v>
      </c>
      <c r="E80" s="12">
        <f>('Статистика акций за год'!E80-'Статистика акций за год'!E81)/'Статистика акций за год'!E81</f>
        <v>9.9158091674461258E-3</v>
      </c>
      <c r="F80" s="12">
        <f>('Статистика акций за год'!F80-'Статистика акций за год'!F81)/'Статистика акций за год'!F81</f>
        <v>1.2597503900156078E-2</v>
      </c>
      <c r="G80" s="12">
        <f>('Статистика акций за год'!G80-'Статистика акций за год'!G81)/'Статистика акций за год'!G81</f>
        <v>-1.8924033522573669E-3</v>
      </c>
      <c r="H80" s="12">
        <f>('Статистика акций за год'!H80-'Статистика акций за год'!H81)/'Статистика акций за год'!H81</f>
        <v>1.8249883013570452E-2</v>
      </c>
      <c r="I80" s="12">
        <f>('Статистика акций за год'!I80-'Статистика акций за год'!I81)/'Статистика акций за год'!I81</f>
        <v>4.1226871973177759E-2</v>
      </c>
      <c r="J80" s="12">
        <f>('Статистика акций за год'!J80-'Статистика акций за год'!J81)/'Статистика акций за год'!J81</f>
        <v>9.8975516582740855E-3</v>
      </c>
      <c r="K80" s="12">
        <f>('Статистика акций за год'!K80-'Статистика акций за год'!K81)/'Статистика акций за год'!K81</f>
        <v>-7.2682300337726293E-3</v>
      </c>
      <c r="L80" s="17">
        <v>0.1038</v>
      </c>
      <c r="M80" s="50">
        <f t="shared" si="1"/>
        <v>2.7060858604532889E-4</v>
      </c>
    </row>
    <row r="81" spans="1:13" x14ac:dyDescent="0.25">
      <c r="A81" s="6">
        <v>45161</v>
      </c>
      <c r="B81" s="12">
        <f>('Статистика акций за год'!B81-'Статистика акций за год'!B82)/'Статистика акций за год'!B82</f>
        <v>-1.7801513128615869E-2</v>
      </c>
      <c r="C81" s="12">
        <f>('Статистика акций за год'!C81-'Статистика акций за год'!C82)/'Статистика акций за год'!C82</f>
        <v>-1.6035811423390663E-2</v>
      </c>
      <c r="D81" s="12">
        <f>('Статистика акций за год'!D81-'Статистика акций за год'!D82)/'Статистика акций за год'!D82</f>
        <v>-2.5597269624573378E-2</v>
      </c>
      <c r="E81" s="12">
        <f>('Статистика акций за год'!E81-'Статистика акций за год'!E82)/'Статистика акций за год'!E82</f>
        <v>-2.7297543221110099E-2</v>
      </c>
      <c r="F81" s="12">
        <f>('Статистика акций за год'!F81-'Статистика акций за год'!F82)/'Статистика акций за год'!F82</f>
        <v>-1.9315356664754299E-2</v>
      </c>
      <c r="G81" s="12">
        <f>('Статистика акций за год'!G81-'Статистика акций за год'!G82)/'Статистика акций за год'!G82</f>
        <v>-2.4271844660194173E-3</v>
      </c>
      <c r="H81" s="12">
        <f>('Статистика акций за год'!H81-'Статистика акций за год'!H82)/'Статистика акций за год'!H82</f>
        <v>-2.3755139333028856E-2</v>
      </c>
      <c r="I81" s="12">
        <f>('Статистика акций за год'!I81-'Статистика акций за год'!I82)/'Статистика акций за год'!I82</f>
        <v>-3.9594514013118719E-2</v>
      </c>
      <c r="J81" s="12">
        <f>('Статистика акций за год'!J81-'Статистика акций за год'!J82)/'Статистика акций за год'!J82</f>
        <v>-2.4394375741148531E-2</v>
      </c>
      <c r="K81" s="12">
        <f>('Статистика акций за год'!K81-'Статистика акций за год'!K82)/'Статистика акций за год'!K82</f>
        <v>-6.0611218276030243E-3</v>
      </c>
      <c r="L81" s="17">
        <v>0.10249999999999999</v>
      </c>
      <c r="M81" s="50">
        <f t="shared" si="1"/>
        <v>2.6737910473428883E-4</v>
      </c>
    </row>
    <row r="82" spans="1:13" x14ac:dyDescent="0.25">
      <c r="A82" s="6">
        <v>45160</v>
      </c>
      <c r="B82" s="12">
        <f>('Статистика акций за год'!B82-'Статистика акций за год'!B83)/'Статистика акций за год'!B83</f>
        <v>2.4537140307829453E-3</v>
      </c>
      <c r="C82" s="12">
        <f>('Статистика акций за год'!C82-'Статистика акций за год'!C83)/'Статистика акций за год'!C83</f>
        <v>6.8042640054420569E-4</v>
      </c>
      <c r="D82" s="12">
        <f>('Статистика акций за год'!D82-'Статистика акций за год'!D83)/'Статистика акций за год'!D83</f>
        <v>2.051983584131405E-3</v>
      </c>
      <c r="E82" s="12">
        <f>('Статистика акций за год'!E82-'Статистика акций за год'!E83)/'Статистика акций за год'!E83</f>
        <v>3.744634213170069E-3</v>
      </c>
      <c r="F82" s="12">
        <f>('Статистика акций за год'!F82-'Статистика акций за год'!F83)/'Статистика акций за год'!F83</f>
        <v>1.1487650775416863E-3</v>
      </c>
      <c r="G82" s="12">
        <f>('Статистика акций за год'!G82-'Статистика акций за год'!G83)/'Статистика акций за год'!G83</f>
        <v>-1.12E-2</v>
      </c>
      <c r="H82" s="12">
        <f>('Статистика акций за год'!H82-'Статистика акций за год'!H83)/'Статистика акций за год'!H83</f>
        <v>-7.2562358276643734E-3</v>
      </c>
      <c r="I82" s="12">
        <f>('Статистика акций за год'!I82-'Статистика акций за год'!I83)/'Статистика акций за год'!I83</f>
        <v>-1.0969568294409005E-2</v>
      </c>
      <c r="J82" s="12">
        <f>('Статистика акций за год'!J82-'Статистика акций за год'!J83)/'Статистика акций за год'!J83</f>
        <v>9.7502565856995068E-3</v>
      </c>
      <c r="K82" s="12">
        <f>('Статистика акций за год'!K82-'Статистика акций за год'!K83)/'Статистика акций за год'!K83</f>
        <v>5.1087018221033056E-4</v>
      </c>
      <c r="L82" s="17">
        <v>0.1023</v>
      </c>
      <c r="M82" s="50">
        <f t="shared" si="1"/>
        <v>2.6688192441870484E-4</v>
      </c>
    </row>
    <row r="83" spans="1:13" x14ac:dyDescent="0.25">
      <c r="A83" s="6">
        <v>45159</v>
      </c>
      <c r="B83" s="12">
        <f>('Статистика акций за год'!B83-'Статистика акций за год'!B84)/'Статистика акций за год'!B84</f>
        <v>-1.7813404586951302E-3</v>
      </c>
      <c r="C83" s="12">
        <f>('Статистика акций за год'!C83-'Статистика акций за год'!C84)/'Статистика акций за год'!C84</f>
        <v>5.0148165033053567E-3</v>
      </c>
      <c r="D83" s="12">
        <f>('Статистика акций за год'!D83-'Статистика акций за год'!D84)/'Статистика акций за год'!D84</f>
        <v>-1.707067258449983E-3</v>
      </c>
      <c r="E83" s="12">
        <f>('Статистика акций за год'!E83-'Статистика акций за год'!E84)/'Статистика акций за год'!E84</f>
        <v>-1.3681138270704122E-3</v>
      </c>
      <c r="F83" s="12">
        <f>('Статистика акций за год'!F83-'Статистика акций за год'!F84)/'Статистика акций за год'!F84</f>
        <v>3.8293635597728828E-5</v>
      </c>
      <c r="G83" s="12">
        <f>('Статистика акций за год'!G83-'Статистика акций за год'!G84)/'Статистика акций за год'!G84</f>
        <v>0</v>
      </c>
      <c r="H83" s="12">
        <f>('Статистика акций за год'!H83-'Статистика акций за год'!H84)/'Статистика акций за год'!H84</f>
        <v>2.0833333333333332E-2</v>
      </c>
      <c r="I83" s="12">
        <f>('Статистика акций за год'!I83-'Статистика акций за год'!I84)/'Статистика акций за год'!I84</f>
        <v>3.3020592177409415E-2</v>
      </c>
      <c r="J83" s="12">
        <f>('Статистика акций за год'!J83-'Статистика акций за год'!J84)/'Статистика акций за год'!J84</f>
        <v>1.6518866284124498E-2</v>
      </c>
      <c r="K83" s="12">
        <f>('Статистика акций за год'!K83-'Статистика акций за год'!K84)/'Статистика акций за год'!K84</f>
        <v>9.5412738890003242E-3</v>
      </c>
      <c r="L83" s="17">
        <v>0.1016</v>
      </c>
      <c r="M83" s="50">
        <f t="shared" si="1"/>
        <v>2.6514108459596564E-4</v>
      </c>
    </row>
    <row r="84" spans="1:13" x14ac:dyDescent="0.25">
      <c r="A84" s="6">
        <v>45156</v>
      </c>
      <c r="B84" s="12">
        <f>('Статистика акций за год'!B84-'Статистика акций за год'!B85)/'Статистика акций за год'!B85</f>
        <v>4.697986577181068E-3</v>
      </c>
      <c r="C84" s="12">
        <f>('Статистика акций за год'!C84-'Статистика акций за год'!C85)/'Статистика акций за год'!C85</f>
        <v>7.694958079706004E-3</v>
      </c>
      <c r="D84" s="12">
        <f>('Статистика акций за год'!D84-'Статистика акций за год'!D85)/'Статистика акций за год'!D85</f>
        <v>4.0867093105899081E-2</v>
      </c>
      <c r="E84" s="12">
        <f>('Статистика акций за год'!E84-'Статистика акций за год'!E85)/'Статистика акций за год'!E85</f>
        <v>6.8876848195426575E-3</v>
      </c>
      <c r="F84" s="12">
        <f>('Статистика акций за год'!F84-'Статистика акций за год'!F85)/'Статистика акций за год'!F85</f>
        <v>1.0212765957446756E-2</v>
      </c>
      <c r="G84" s="12">
        <f>('Статистика акций за год'!G84-'Статистика акций за год'!G85)/'Статистика акций за год'!G85</f>
        <v>2.1241830065359478E-2</v>
      </c>
      <c r="H84" s="12">
        <f>('Статистика акций за год'!H84-'Статистика акций за год'!H85)/'Статистика акций за год'!H85</f>
        <v>1.4084507042253521E-2</v>
      </c>
      <c r="I84" s="12">
        <f>('Статистика акций за год'!I84-'Статистика акций за год'!I85)/'Статистика акций за год'!I85</f>
        <v>5.1370740456059466E-2</v>
      </c>
      <c r="J84" s="12">
        <f>('Статистика акций за год'!J84-'Статистика акций за год'!J85)/'Статистика акций за год'!J85</f>
        <v>1.2143611404435017E-2</v>
      </c>
      <c r="K84" s="12">
        <f>('Статистика акций за год'!K84-'Статистика акций за год'!K85)/'Статистика акций за год'!K85</f>
        <v>1.7591089772870758E-2</v>
      </c>
      <c r="L84" s="17">
        <v>0.1032</v>
      </c>
      <c r="M84" s="50">
        <f t="shared" si="1"/>
        <v>2.6911852780475698E-4</v>
      </c>
    </row>
    <row r="85" spans="1:13" x14ac:dyDescent="0.25">
      <c r="A85" s="6">
        <v>45155</v>
      </c>
      <c r="B85" s="12">
        <f>('Статистика акций за год'!B85-'Статистика акций за год'!B86)/'Статистика акций за год'!B86</f>
        <v>1.5216897569838784E-2</v>
      </c>
      <c r="C85" s="12">
        <f>('Статистика акций за год'!C85-'Статистика акций за год'!C86)/'Статистика акций за год'!C86</f>
        <v>0</v>
      </c>
      <c r="D85" s="12">
        <f>('Статистика акций за год'!D85-'Статистика акций за год'!D86)/'Статистика акций за год'!D86</f>
        <v>-1.9507004788083396E-3</v>
      </c>
      <c r="E85" s="12">
        <f>('Статистика акций за год'!E85-'Статистика акций за год'!E86)/'Статистика акций за год'!E86</f>
        <v>2.1578009194108263E-2</v>
      </c>
      <c r="F85" s="12">
        <f>('Статистика акций за год'!F85-'Статистика акций за год'!F86)/'Статистика акций за год'!F86</f>
        <v>9.6867432231857609E-3</v>
      </c>
      <c r="G85" s="12">
        <f>('Статистика акций за год'!G85-'Статистика акций за год'!G86)/'Статистика акций за год'!G86</f>
        <v>-4.608294930875576E-3</v>
      </c>
      <c r="H85" s="12">
        <f>('Статистика акций за год'!H85-'Статистика акций за год'!H86)/'Статистика акций за год'!H86</f>
        <v>1.8164435946462769E-2</v>
      </c>
      <c r="I85" s="12">
        <f>('Статистика акций за год'!I85-'Статистика акций за год'!I86)/'Статистика акций за год'!I86</f>
        <v>1.0354646647683147E-2</v>
      </c>
      <c r="J85" s="12">
        <f>('Статистика акций за год'!J85-'Статистика акций за год'!J86)/'Статистика акций за год'!J86</f>
        <v>9.2362344582594055E-3</v>
      </c>
      <c r="K85" s="12">
        <f>('Статистика акций за год'!K85-'Статистика акций за год'!K86)/'Статистика акций за год'!K86</f>
        <v>1.4113797419698258E-2</v>
      </c>
      <c r="L85" s="17">
        <v>0.10290000000000001</v>
      </c>
      <c r="M85" s="50">
        <f t="shared" si="1"/>
        <v>2.6837319558925543E-4</v>
      </c>
    </row>
    <row r="86" spans="1:13" x14ac:dyDescent="0.25">
      <c r="A86" s="6">
        <v>45154</v>
      </c>
      <c r="B86" s="12">
        <f>('Статистика акций за год'!B86-'Статистика акций за год'!B87)/'Статистика акций за год'!B87</f>
        <v>-2.4374030578329303E-2</v>
      </c>
      <c r="C86" s="12">
        <f>('Статистика акций за год'!C86-'Статистика акций за год'!C87)/'Статистика акций за год'!C87</f>
        <v>-1.1466848319709413E-2</v>
      </c>
      <c r="D86" s="12">
        <f>('Статистика акций за год'!D86-'Статистика акций за год'!D87)/'Статистика акций за год'!D87</f>
        <v>-4.4138418079096046E-3</v>
      </c>
      <c r="E86" s="12">
        <f>('Статистика акций за год'!E86-'Статистика акций за год'!E87)/'Статистика акций за год'!E87</f>
        <v>-2.4437122460186547E-2</v>
      </c>
      <c r="F86" s="12">
        <f>('Статистика акций за год'!F86-'Статистика акций за год'!F87)/'Статистика акций за год'!F87</f>
        <v>-1.6895783733968335E-2</v>
      </c>
      <c r="G86" s="12">
        <f>('Статистика акций за год'!G86-'Статистика акций за год'!G87)/'Статистика акций за год'!G87</f>
        <v>-3.0231335436382754E-2</v>
      </c>
      <c r="H86" s="12">
        <f>('Статистика акций за год'!H86-'Статистика акций за год'!H87)/'Статистика акций за год'!H87</f>
        <v>-4.6055631554947664E-2</v>
      </c>
      <c r="I86" s="12">
        <f>('Статистика акций за год'!I86-'Статистика акций за год'!I87)/'Статистика акций за год'!I87</f>
        <v>-2.7931555108203238E-2</v>
      </c>
      <c r="J86" s="12">
        <f>('Статистика акций за год'!J86-'Статистика акций за год'!J87)/'Статистика акций за год'!J87</f>
        <v>-1.9163763066202089E-2</v>
      </c>
      <c r="K86" s="12">
        <f>('Статистика акций за год'!K86-'Статистика акций за год'!K87)/'Статистика акций за год'!K87</f>
        <v>4.3754145259802205E-3</v>
      </c>
      <c r="L86" s="17">
        <v>0.10630000000000001</v>
      </c>
      <c r="M86" s="50">
        <f t="shared" si="1"/>
        <v>2.768084799020798E-4</v>
      </c>
    </row>
    <row r="87" spans="1:13" x14ac:dyDescent="0.25">
      <c r="A87" s="6">
        <v>45153</v>
      </c>
      <c r="B87" s="12">
        <f>('Статистика акций за год'!B87-'Статистика акций за год'!B88)/'Статистика акций за год'!B88</f>
        <v>8.8711465956973037E-4</v>
      </c>
      <c r="C87" s="12">
        <f>('Статистика акций за год'!C87-'Статистика акций за год'!C88)/'Статистика акций за год'!C88</f>
        <v>-5.2515669998306333E-3</v>
      </c>
      <c r="D87" s="12">
        <f>('Статистика акций за год'!D87-'Статистика акций за год'!D88)/'Статистика акций за год'!D88</f>
        <v>-3.5186488388458835E-3</v>
      </c>
      <c r="E87" s="12">
        <f>('Статистика акций за год'!E87-'Статистика акций за год'!E88)/'Статистика акций за год'!E88</f>
        <v>1.2135247799907281E-2</v>
      </c>
      <c r="F87" s="12">
        <f>('Статистика акций за год'!F87-'Статистика акций за год'!F88)/'Статистика акций за год'!F88</f>
        <v>-1.1518525628709048E-4</v>
      </c>
      <c r="G87" s="12">
        <f>('Статистика акций за год'!G87-'Статистика акций за год'!G88)/'Статистика акций за год'!G88</f>
        <v>-1.1691348402182385E-2</v>
      </c>
      <c r="H87" s="12">
        <f>('Статистика акций за год'!H87-'Статистика акций за год'!H88)/'Статистика акций за год'!H88</f>
        <v>-4.5578851412941802E-4</v>
      </c>
      <c r="I87" s="12">
        <f>('Статистика акций за год'!I87-'Статистика акций за год'!I88)/'Статистика акций за год'!I88</f>
        <v>-2.6934378060724781E-2</v>
      </c>
      <c r="J87" s="12">
        <f>('Статистика акций за год'!J87-'Статистика акций за год'!J88)/'Статистика акций за год'!J88</f>
        <v>-3.9909769217420692E-3</v>
      </c>
      <c r="K87" s="12">
        <f>('Статистика акций за год'!K87-'Статистика акций за год'!K88)/'Статистика акций за год'!K88</f>
        <v>7.5290015157079208E-4</v>
      </c>
      <c r="L87" s="17">
        <v>0.1077</v>
      </c>
      <c r="M87" s="50">
        <f t="shared" si="1"/>
        <v>2.8027432030652832E-4</v>
      </c>
    </row>
    <row r="88" spans="1:13" x14ac:dyDescent="0.25">
      <c r="A88" s="6">
        <v>45152</v>
      </c>
      <c r="B88" s="12">
        <f>('Статистика акций за год'!B88-'Статистика акций за год'!B89)/'Статистика акций за год'!B89</f>
        <v>-1.6361256544502618E-2</v>
      </c>
      <c r="C88" s="12">
        <f>('Статистика акций за год'!C88-'Статистика акций за год'!C89)/'Статистика акций за год'!C89</f>
        <v>4.1962007371704512E-3</v>
      </c>
      <c r="D88" s="12">
        <f>('Статистика акций за год'!D88-'Статистика акций за год'!D89)/'Статистика акций за год'!D89</f>
        <v>-2.654564137694811E-2</v>
      </c>
      <c r="E88" s="12">
        <f>('Статистика акций за год'!E88-'Статистика акций за год'!E89)/'Статистика акций за год'!E89</f>
        <v>-1.6848816029143898E-2</v>
      </c>
      <c r="F88" s="12">
        <f>('Статистика акций за год'!F88-'Статистика акций за год'!F89)/'Статистика акций за год'!F89</f>
        <v>-2.1710551027307325E-2</v>
      </c>
      <c r="G88" s="12">
        <f>('Статистика акций за год'!G88-'Статистика акций за год'!G89)/'Статистика акций за год'!G89</f>
        <v>2.3437499999999999E-3</v>
      </c>
      <c r="H88" s="12">
        <f>('Статистика акций за год'!H88-'Статистика акций за год'!H89)/'Статистика акций за год'!H89</f>
        <v>-2.2717149220489952E-2</v>
      </c>
      <c r="I88" s="12">
        <f>('Статистика акций за год'!I88-'Статистика акций за год'!I89)/'Статистика акций за год'!I89</f>
        <v>-3.5655253837072069E-2</v>
      </c>
      <c r="J88" s="12">
        <f>('Статистика акций за год'!J88-'Статистика акций за год'!J89)/'Статистика акций за год'!J89</f>
        <v>-1.9050917907863227E-3</v>
      </c>
      <c r="K88" s="12">
        <f>('Статистика акций за год'!K88-'Статистика акций за год'!K89)/'Статистика акций за год'!K89</f>
        <v>8.5324061585188814E-3</v>
      </c>
      <c r="L88" s="17">
        <v>0.10009999999999999</v>
      </c>
      <c r="M88" s="50">
        <f t="shared" si="1"/>
        <v>2.6140699582333227E-4</v>
      </c>
    </row>
    <row r="89" spans="1:13" x14ac:dyDescent="0.25">
      <c r="A89" s="6">
        <v>45149</v>
      </c>
      <c r="B89" s="12">
        <f>('Статистика акций за год'!B89-'Статистика акций за год'!B90)/'Статистика акций за год'!B90</f>
        <v>8.1372333406642752E-3</v>
      </c>
      <c r="C89" s="12">
        <f>('Статистика акций за год'!C89-'Статистика акций за год'!C90)/'Статистика акций за год'!C90</f>
        <v>-1.6982734220210096E-3</v>
      </c>
      <c r="D89" s="12">
        <f>('Статистика акций за год'!D89-'Статистика акций за год'!D90)/'Статистика акций за год'!D90</f>
        <v>5.857019810508143E-3</v>
      </c>
      <c r="E89" s="12">
        <f>('Статистика акций за год'!E89-'Статистика акций за год'!E90)/'Статистика акций за год'!E90</f>
        <v>2.5784753363228611E-2</v>
      </c>
      <c r="F89" s="12">
        <f>('Статистика акций за год'!F89-'Статистика акций за год'!F90)/'Статистика акций за год'!F90</f>
        <v>-2.547675246337742E-3</v>
      </c>
      <c r="G89" s="12">
        <f>('Статистика акций за год'!G89-'Статистика акций за год'!G90)/'Статистика акций за год'!G90</f>
        <v>-1.0309278350515464E-2</v>
      </c>
      <c r="H89" s="12">
        <f>('Статистика акций за год'!H89-'Статистика акций за год'!H90)/'Статистика акций за год'!H90</f>
        <v>-1.057734684883211E-2</v>
      </c>
      <c r="I89" s="12">
        <f>('Статистика акций за год'!I89-'Статистика акций за год'!I90)/'Статистика акций за год'!I90</f>
        <v>1.2915570437694276E-2</v>
      </c>
      <c r="J89" s="12">
        <f>('Статистика акций за год'!J89-'Статистика акций за год'!J90)/'Статистика акций за год'!J90</f>
        <v>4.3485823621499395E-3</v>
      </c>
      <c r="K89" s="12">
        <f>('Статистика акций за год'!K89-'Статистика акций за год'!K90)/'Статистика акций за год'!K90</f>
        <v>-1.6527301490601498E-2</v>
      </c>
      <c r="L89" s="17">
        <v>9.3600000000000003E-2</v>
      </c>
      <c r="M89" s="50">
        <f t="shared" si="1"/>
        <v>2.4516705244193027E-4</v>
      </c>
    </row>
    <row r="90" spans="1:13" x14ac:dyDescent="0.25">
      <c r="A90" s="6">
        <v>45148</v>
      </c>
      <c r="B90" s="12">
        <f>('Статистика акций за год'!B90-'Статистика акций за год'!B91)/'Статистика акций за год'!B91</f>
        <v>4.8618784530386492E-3</v>
      </c>
      <c r="C90" s="12">
        <f>('Статистика акций за год'!C90-'Статистика акций за год'!C91)/'Статистика акций за год'!C91</f>
        <v>1.226290756976686E-2</v>
      </c>
      <c r="D90" s="12">
        <f>('Статистика акций за год'!D90-'Статистика акций за год'!D91)/'Статистика акций за год'!D91</f>
        <v>2.2444751381214684E-3</v>
      </c>
      <c r="E90" s="12">
        <f>('Статистика акций за год'!E90-'Статистика акций за год'!E91)/'Статистика акций за год'!E91</f>
        <v>3.7509377344336079E-3</v>
      </c>
      <c r="F90" s="12">
        <f>('Статистика акций за год'!F90-'Статистика акций за год'!F91)/'Статистика акций за год'!F91</f>
        <v>1.1367511651699441E-2</v>
      </c>
      <c r="G90" s="12">
        <f>('Статистика акций за год'!G90-'Статистика акций за год'!G91)/'Статистика акций за год'!G91</f>
        <v>3.6878674505611969E-2</v>
      </c>
      <c r="H90" s="12">
        <f>('Статистика акций за год'!H90-'Статистика акций за год'!H91)/'Статистика акций за год'!H91</f>
        <v>2.7161611588954276E-2</v>
      </c>
      <c r="I90" s="12">
        <f>('Статистика акций за год'!I90-'Статистика акций за год'!I91)/'Статистика акций за год'!I91</f>
        <v>2.702038811102923E-2</v>
      </c>
      <c r="J90" s="12">
        <f>('Статистика акций за год'!J90-'Статистика акций за год'!J91)/'Статистика акций за год'!J91</f>
        <v>9.4820017559262108E-3</v>
      </c>
      <c r="K90" s="12">
        <f>('Статистика акций за год'!K90-'Статистика акций за год'!K91)/'Статистика акций за год'!K91</f>
        <v>1.2928975236881926E-2</v>
      </c>
      <c r="L90" s="17">
        <v>9.2600000000000002E-2</v>
      </c>
      <c r="M90" s="50">
        <f t="shared" si="1"/>
        <v>2.4266005905171362E-4</v>
      </c>
    </row>
    <row r="91" spans="1:13" x14ac:dyDescent="0.25">
      <c r="A91" s="6">
        <v>45147</v>
      </c>
      <c r="B91" s="12">
        <f>('Статистика акций за год'!B91-'Статистика акций за год'!B92)/'Статистика акций за год'!B92</f>
        <v>-2.8646981048920791E-3</v>
      </c>
      <c r="C91" s="12">
        <f>('Статистика акций за год'!C91-'Статистика акций за год'!C92)/'Статистика акций за год'!C92</f>
        <v>1.0422094841062955E-2</v>
      </c>
      <c r="D91" s="12">
        <f>('Статистика акций за год'!D91-'Статистика акций за год'!D92)/'Статистика акций за год'!D92</f>
        <v>-3.4411562284927732E-3</v>
      </c>
      <c r="E91" s="12">
        <f>('Статистика акций за год'!E91-'Статистика акций за год'!E92)/'Статистика акций за год'!E92</f>
        <v>1.0039780261413276E-2</v>
      </c>
      <c r="F91" s="12">
        <f>('Статистика акций за год'!F91-'Статистика акций за год'!F92)/'Статистика акций за год'!F92</f>
        <v>-2.6830927367545139E-3</v>
      </c>
      <c r="G91" s="12">
        <f>('Статистика акций за год'!G91-'Статистика акций за год'!G92)/'Статистика акций за год'!G92</f>
        <v>3.7553648068669528E-3</v>
      </c>
      <c r="H91" s="12">
        <f>('Статистика акций за год'!H91-'Статистика акций за год'!H92)/'Статистика акций за год'!H92</f>
        <v>4.5289855072461194E-4</v>
      </c>
      <c r="I91" s="12">
        <f>('Статистика акций за год'!I91-'Статистика акций за год'!I92)/'Статистика акций за год'!I92</f>
        <v>-5.9821755585398326E-3</v>
      </c>
      <c r="J91" s="12">
        <f>('Статистика акций за год'!J91-'Статистика акций за год'!J92)/'Статистика акций за год'!J92</f>
        <v>2.5202520252025202E-2</v>
      </c>
      <c r="K91" s="12">
        <f>('Статистика акций за год'!K91-'Статистика акций за год'!K92)/'Статистика акций за год'!K92</f>
        <v>4.9209841968394412E-3</v>
      </c>
      <c r="L91" s="17">
        <v>9.1600000000000001E-2</v>
      </c>
      <c r="M91" s="50">
        <f t="shared" si="1"/>
        <v>2.4015077638206428E-4</v>
      </c>
    </row>
    <row r="92" spans="1:13" x14ac:dyDescent="0.25">
      <c r="A92" s="6">
        <v>45146</v>
      </c>
      <c r="B92" s="12">
        <f>('Статистика акций за год'!B92-'Статистика акций за год'!B93)/'Статистика акций за год'!B93</f>
        <v>3.5382574082265302E-3</v>
      </c>
      <c r="C92" s="12">
        <f>('Статистика акций за год'!C92-'Статистика акций за год'!C93)/'Статистика акций за год'!C93</f>
        <v>1.1013215859030704E-3</v>
      </c>
      <c r="D92" s="12">
        <f>('Статистика акций за год'!D92-'Статистика акций за год'!D93)/'Статистика акций за год'!D93</f>
        <v>1.8962247888295513E-3</v>
      </c>
      <c r="E92" s="12">
        <f>('Статистика акций за год'!E92-'Статистика акций за год'!E93)/'Статистика акций за год'!E93</f>
        <v>6.2905070529926691E-3</v>
      </c>
      <c r="F92" s="12">
        <f>('Статистика акций за год'!F92-'Статистика акций за год'!F93)/'Статистика акций за год'!F93</f>
        <v>1.0308491142333493E-2</v>
      </c>
      <c r="G92" s="12">
        <f>('Статистика акций за год'!G92-'Статистика акций за год'!G93)/'Статистика акций за год'!G93</f>
        <v>-1.6618306515431284E-2</v>
      </c>
      <c r="H92" s="12">
        <f>('Статистика акций за год'!H92-'Статистика акций за год'!H93)/'Статистика акций за год'!H93</f>
        <v>4.0927694406548689E-3</v>
      </c>
      <c r="I92" s="12">
        <f>('Статистика акций за год'!I92-'Статистика акций за год'!I93)/'Статистика акций за год'!I93</f>
        <v>3.9220492707440196E-3</v>
      </c>
      <c r="J92" s="12">
        <f>('Статистика акций за год'!J92-'Статистика акций за год'!J93)/'Статистика акций за год'!J93</f>
        <v>1.2392928740659658E-2</v>
      </c>
      <c r="K92" s="12">
        <f>('Статистика акций за год'!K92-'Статистика акций за год'!K93)/'Статистика акций за год'!K93</f>
        <v>-1.6941486485157781E-2</v>
      </c>
      <c r="L92" s="17">
        <v>9.0999999999999998E-2</v>
      </c>
      <c r="M92" s="50">
        <f t="shared" si="1"/>
        <v>2.3864410618323895E-4</v>
      </c>
    </row>
    <row r="93" spans="1:13" x14ac:dyDescent="0.25">
      <c r="A93" s="6">
        <v>45145</v>
      </c>
      <c r="B93" s="12">
        <f>('Статистика акций за год'!B93-'Статистика акций за год'!B94)/'Статистика акций за год'!B94</f>
        <v>-1.5455950540958331E-3</v>
      </c>
      <c r="C93" s="12">
        <f>('Статистика акций за год'!C93-'Статистика акций за год'!C94)/'Статистика акций за год'!C94</f>
        <v>-5.4191167992620644E-3</v>
      </c>
      <c r="D93" s="12">
        <f>('Статистика акций за год'!D93-'Статистика акций за год'!D94)/'Статистика акций за год'!D94</f>
        <v>5.7212205270458887E-3</v>
      </c>
      <c r="E93" s="12">
        <f>('Статистика акций за год'!E93-'Статистика акций за год'!E94)/'Статистика акций за год'!E94</f>
        <v>5.077114666155718E-3</v>
      </c>
      <c r="F93" s="12">
        <f>('Статистика акций за год'!F93-'Статистика акций за год'!F94)/'Статистика акций за год'!F94</f>
        <v>-8.3295471755262321E-3</v>
      </c>
      <c r="G93" s="12">
        <f>('Статистика акций за год'!G93-'Статистика акций за год'!G94)/'Статистика акций за год'!G94</f>
        <v>-4.464285714285714E-3</v>
      </c>
      <c r="H93" s="12">
        <f>('Статистика акций за год'!H93-'Статистика акций за год'!H94)/'Статистика акций за год'!H94</f>
        <v>2.7359781121750765E-3</v>
      </c>
      <c r="I93" s="12">
        <f>('Статистика акций за год'!I93-'Статистика акций за год'!I94)/'Статистика акций за год'!I94</f>
        <v>-5.8486657731205895E-3</v>
      </c>
      <c r="J93" s="12">
        <f>('Статистика акций за год'!J93-'Статистика акций за год'!J94)/'Статистика акций за год'!J94</f>
        <v>1.2548440671710775E-2</v>
      </c>
      <c r="K93" s="12">
        <f>('Статистика акций за год'!K93-'Статистика акций за год'!K94)/'Статистика акций за год'!K94</f>
        <v>1.2700100419398308E-3</v>
      </c>
      <c r="L93" s="17">
        <v>8.9800000000000005E-2</v>
      </c>
      <c r="M93" s="50">
        <f t="shared" si="1"/>
        <v>2.3562828520873325E-4</v>
      </c>
    </row>
    <row r="94" spans="1:13" x14ac:dyDescent="0.25">
      <c r="A94" s="6">
        <v>45142</v>
      </c>
      <c r="B94" s="12">
        <f>('Статистика акций за год'!B94-'Статистика акций за год'!B95)/'Статистика акций за год'!B95</f>
        <v>-3.9586540576204031E-3</v>
      </c>
      <c r="C94" s="12">
        <f>('Статистика акций за год'!C94-'Статистика акций за год'!C95)/'Статистика акций за год'!C95</f>
        <v>-2.0553359683794389E-2</v>
      </c>
      <c r="D94" s="12">
        <f>('Статистика акций за год'!D94-'Статистика акций за год'!D95)/'Статистика акций за год'!D95</f>
        <v>-8.0825451418745416E-3</v>
      </c>
      <c r="E94" s="12">
        <f>('Статистика акций за год'!E94-'Статистика акций за год'!E95)/'Статистика акций за год'!E95</f>
        <v>-9.0184165559141823E-3</v>
      </c>
      <c r="F94" s="12">
        <f>('Статистика акций за год'!F94-'Статистика акций за год'!F95)/'Статистика акций за год'!F95</f>
        <v>-1.8542603396380693E-2</v>
      </c>
      <c r="G94" s="12">
        <f>('Статистика акций за год'!G94-'Статистика акций за год'!G95)/'Статистика акций за год'!G95</f>
        <v>-3.619336876740066E-2</v>
      </c>
      <c r="H94" s="12">
        <f>('Статистика акций за год'!H94-'Статистика акций за год'!H95)/'Статистика акций за год'!H95</f>
        <v>-3.3920704845814928E-2</v>
      </c>
      <c r="I94" s="12">
        <f>('Статистика акций за год'!I94-'Статистика акций за год'!I95)/'Статистика акций за год'!I95</f>
        <v>-2.1111641221373965E-2</v>
      </c>
      <c r="J94" s="12">
        <f>('Статистика акций за год'!J94-'Статистика акций за год'!J95)/'Статистика акций за год'!J95</f>
        <v>-1.0589738908161526E-2</v>
      </c>
      <c r="K94" s="12">
        <f>('Статистика акций за год'!K94-'Статистика акций за год'!K95)/'Статистика акций за год'!K95</f>
        <v>-2.9458134668488425E-2</v>
      </c>
      <c r="L94" s="17">
        <v>8.9599999999999999E-2</v>
      </c>
      <c r="M94" s="50">
        <f t="shared" si="1"/>
        <v>2.3512532643055195E-4</v>
      </c>
    </row>
    <row r="95" spans="1:13" x14ac:dyDescent="0.25">
      <c r="A95" s="6">
        <v>45141</v>
      </c>
      <c r="B95" s="12">
        <f>('Статистика акций за год'!B95-'Статистика акций за год'!B96)/'Статистика акций за год'!B96</f>
        <v>4.6398585947857018E-3</v>
      </c>
      <c r="C95" s="12">
        <f>('Статистика акций за год'!C95-'Статистика акций за год'!C96)/'Статистика акций за год'!C96</f>
        <v>1.7406790371689556E-2</v>
      </c>
      <c r="D95" s="12">
        <f>('Статистика акций за год'!D95-'Статистика акций за год'!D96)/'Статистика акций за год'!D96</f>
        <v>4.1443619409428029E-3</v>
      </c>
      <c r="E95" s="12">
        <f>('Статистика акций за год'!E95-'Статистика акций за год'!E96)/'Статистика акций за год'!E96</f>
        <v>7.1708576345730947E-3</v>
      </c>
      <c r="F95" s="12">
        <f>('Статистика акций за год'!F95-'Статистика акций за год'!F96)/'Статистика акций за год'!F96</f>
        <v>2.0106489928138679E-3</v>
      </c>
      <c r="G95" s="12">
        <f>('Статистика акций за год'!G95-'Статистика акций за год'!G96)/'Статистика акций за год'!G96</f>
        <v>1.6726711271230058E-2</v>
      </c>
      <c r="H95" s="12">
        <f>('Статистика акций за год'!H95-'Статистика акций за год'!H96)/'Статистика акций за год'!H96</f>
        <v>3.6529680365296802E-2</v>
      </c>
      <c r="I95" s="12">
        <f>('Статистика акций за год'!I95-'Статистика акций за год'!I96)/'Статистика акций за год'!I96</f>
        <v>2.7450980392156835E-2</v>
      </c>
      <c r="J95" s="12">
        <f>('Статистика акций за год'!J95-'Статистика акций за год'!J96)/'Статистика акций за год'!J96</f>
        <v>1.8976744186046595E-2</v>
      </c>
      <c r="K95" s="12">
        <f>('Статистика акций за год'!K95-'Статистика акций за год'!K96)/'Статистика акций за год'!K96</f>
        <v>6.1721867038406434E-3</v>
      </c>
      <c r="L95" s="17">
        <v>8.9099999999999999E-2</v>
      </c>
      <c r="M95" s="50">
        <f t="shared" si="1"/>
        <v>2.3386752658138832E-4</v>
      </c>
    </row>
    <row r="96" spans="1:13" x14ac:dyDescent="0.25">
      <c r="A96" s="6">
        <v>45140</v>
      </c>
      <c r="B96" s="12">
        <f>('Статистика акций за год'!B96-'Статистика акций за год'!B97)/'Статистика акций за год'!B97</f>
        <v>-1.9845644983462712E-3</v>
      </c>
      <c r="C96" s="12">
        <f>('Статистика акций за год'!C96-'Статистика акций за год'!C97)/'Статистика акций за год'!C97</f>
        <v>4.9650713007331282E-3</v>
      </c>
      <c r="D96" s="12">
        <f>('Статистика акций за год'!D96-'Статистика акций за год'!D97)/'Статистика акций за год'!D97</f>
        <v>-2.9269972451789463E-3</v>
      </c>
      <c r="E96" s="12">
        <f>('Статистика акций за год'!E96-'Статистика акций за год'!E97)/'Статистика акций за год'!E97</f>
        <v>1.209599380685117E-2</v>
      </c>
      <c r="F96" s="12">
        <f>('Статистика акций за год'!F96-'Статистика акций за год'!F97)/'Статистика акций за год'!F97</f>
        <v>2.607076350092856E-4</v>
      </c>
      <c r="G96" s="12">
        <f>('Статистика акций за год'!G96-'Статистика акций за год'!G97)/'Статистика акций за год'!G97</f>
        <v>1.3034410844629822E-2</v>
      </c>
      <c r="H96" s="12">
        <f>('Статистика акций за год'!H96-'Статистика акций за год'!H97)/'Статистика акций за год'!H97</f>
        <v>-8.6011770031688799E-3</v>
      </c>
      <c r="I96" s="12">
        <f>('Статистика акций за год'!I96-'Статистика акций за год'!I97)/'Статистика акций за год'!I97</f>
        <v>5.5452865064695009E-3</v>
      </c>
      <c r="J96" s="12">
        <f>('Статистика акций за год'!J96-'Статистика акций за год'!J97)/'Статистика акций за год'!J97</f>
        <v>2.0892687559354226E-2</v>
      </c>
      <c r="K96" s="12">
        <f>('Статистика акций за год'!K96-'Статистика акций за год'!K97)/'Статистика акций за год'!K97</f>
        <v>-1.4813551937411676E-2</v>
      </c>
      <c r="L96" s="17">
        <v>8.6699999999999999E-2</v>
      </c>
      <c r="M96" s="50">
        <f t="shared" si="1"/>
        <v>2.2782206007088135E-4</v>
      </c>
    </row>
    <row r="97" spans="1:13" x14ac:dyDescent="0.25">
      <c r="A97" s="6">
        <v>45139</v>
      </c>
      <c r="B97" s="12">
        <f>('Статистика акций за год'!B97-'Статистика акций за год'!B98)/'Статистика акций за год'!B98</f>
        <v>-6.1363138286215455E-3</v>
      </c>
      <c r="C97" s="12">
        <f>('Статистика акций за год'!C97-'Статистика акций за год'!C98)/'Статистика акций за год'!C98</f>
        <v>-6.4245970286238999E-3</v>
      </c>
      <c r="D97" s="12">
        <f>('Статистика акций за год'!D97-'Статистика акций за год'!D98)/'Статистика акций за год'!D98</f>
        <v>1.0341261633917769E-3</v>
      </c>
      <c r="E97" s="12">
        <f>('Статистика акций за год'!E97-'Статистика акций за год'!E98)/'Статистика акций за год'!E98</f>
        <v>1.5626535626535716E-2</v>
      </c>
      <c r="F97" s="12">
        <f>('Статистика акций за год'!F97-'Статистика акций за год'!F98)/'Статистика акций за год'!F98</f>
        <v>4.1136873597607433E-3</v>
      </c>
      <c r="G97" s="12">
        <f>('Статистика акций за год'!G97-'Статистика акций за год'!G98)/'Статистика акций за год'!G98</f>
        <v>1.1336672818349592E-2</v>
      </c>
      <c r="H97" s="12">
        <f>('Статистика акций за год'!H97-'Статистика акций за год'!H98)/'Статистика акций за год'!H98</f>
        <v>1.1910215300045782E-2</v>
      </c>
      <c r="I97" s="12">
        <f>('Статистика акций за год'!I97-'Статистика акций за год'!I98)/'Статистика акций за год'!I98</f>
        <v>3.5208572522005391E-2</v>
      </c>
      <c r="J97" s="12">
        <f>('Статистика акций за год'!J97-'Статистика акций за год'!J98)/'Статистика акций за год'!J98</f>
        <v>5.7306590257879654E-3</v>
      </c>
      <c r="K97" s="12">
        <f>('Статистика акций за год'!K97-'Статистика акций за год'!K98)/'Статистика акций за год'!K98</f>
        <v>-1.5509300852066803E-3</v>
      </c>
      <c r="L97" s="17">
        <v>8.77E-2</v>
      </c>
      <c r="M97" s="50">
        <f t="shared" si="1"/>
        <v>2.3034262100130043E-4</v>
      </c>
    </row>
    <row r="98" spans="1:13" x14ac:dyDescent="0.25">
      <c r="A98" s="6">
        <v>45138</v>
      </c>
      <c r="B98" s="12">
        <f>('Статистика акций за год'!B98-'Статистика акций за год'!B99)/'Статистика акций за год'!B99</f>
        <v>1.7618198037466528E-2</v>
      </c>
      <c r="C98" s="12">
        <f>('Статистика акций за год'!C98-'Статистика акций за год'!C99)/'Статистика акций за год'!C99</f>
        <v>1.6857209519365462E-2</v>
      </c>
      <c r="D98" s="12">
        <f>('Статистика акций за год'!D98-'Статистика акций за год'!D99)/'Статистика акций за год'!D99</f>
        <v>8.8680229525300337E-3</v>
      </c>
      <c r="E98" s="12">
        <f>('Статистика акций за год'!E98-'Статистика акций за год'!E99)/'Статистика акций за год'!E99</f>
        <v>1.6178967342454855E-2</v>
      </c>
      <c r="F98" s="12">
        <f>('Статистика акций за год'!F98-'Статистика акций за год'!F99)/'Статистика акций за год'!F99</f>
        <v>7.2818455366098198E-2</v>
      </c>
      <c r="G98" s="12">
        <f>('Статистика акций за год'!G98-'Статистика акций за год'!G99)/'Статистика акций за год'!G99</f>
        <v>1.6072863648540048E-2</v>
      </c>
      <c r="H98" s="12">
        <f>('Статистика акций за год'!H98-'Статистика акций за год'!H99)/'Статистика акций за год'!H99</f>
        <v>-9.9773242630384965E-3</v>
      </c>
      <c r="I98" s="12">
        <f>('Статистика акций за год'!I98-'Статистика акций за год'!I99)/'Статистика акций за год'!I99</f>
        <v>1.2659863066787177E-2</v>
      </c>
      <c r="J98" s="12">
        <f>('Статистика акций за год'!J98-'Статистика акций за год'!J99)/'Статистика акций за год'!J99</f>
        <v>1.3552758954501452E-2</v>
      </c>
      <c r="K98" s="12">
        <f>('Статистика акций за год'!K98-'Статистика акций за год'!K99)/'Статистика акций за год'!K99</f>
        <v>2.298605938065339E-2</v>
      </c>
      <c r="L98" s="17">
        <v>8.77E-2</v>
      </c>
      <c r="M98" s="50">
        <f t="shared" si="1"/>
        <v>2.3034262100130043E-4</v>
      </c>
    </row>
    <row r="99" spans="1:13" x14ac:dyDescent="0.25">
      <c r="A99" s="6">
        <v>45135</v>
      </c>
      <c r="B99" s="12">
        <f>('Статистика акций за год'!B99-'Статистика акций за год'!B100)/'Статистика акций за год'!B100</f>
        <v>-1.1138338159945903E-3</v>
      </c>
      <c r="C99" s="12">
        <f>('Статистика акций за год'!C99-'Статистика акций за год'!C100)/'Статистика акций за год'!C100</f>
        <v>-3.2558139534883852E-3</v>
      </c>
      <c r="D99" s="12">
        <f>('Статистика акций за год'!D99-'Статистика акций за год'!D100)/'Статистика акций за год'!D100</f>
        <v>-2.0822488287349158E-3</v>
      </c>
      <c r="E99" s="12">
        <f>('Статистика акций за год'!E99-'Статистика акций за год'!E100)/'Статистика акций за год'!E100</f>
        <v>1.3974683544303751E-2</v>
      </c>
      <c r="F99" s="12">
        <f>('Статистика акций за год'!F99-'Статистика акций за год'!F100)/'Статистика акций за год'!F100</f>
        <v>5.2429925388183564E-3</v>
      </c>
      <c r="G99" s="12">
        <f>('Статистика акций за год'!G99-'Статистика акций за год'!G100)/'Статистика акций за год'!G100</f>
        <v>7.2854830005396653E-3</v>
      </c>
      <c r="H99" s="12">
        <f>('Статистика акций за год'!H99-'Статистика акций за год'!H100)/'Статистика акций за год'!H100</f>
        <v>-6.309148264984253E-3</v>
      </c>
      <c r="I99" s="12">
        <f>('Статистика акций за год'!I99-'Статистика акций за год'!I100)/'Статистика акций за год'!I100</f>
        <v>-1.3759714613326481E-2</v>
      </c>
      <c r="J99" s="12">
        <f>('Статистика акций за год'!J99-'Статистика акций за год'!J100)/'Статистика акций за год'!J100</f>
        <v>1.3937966234786069E-2</v>
      </c>
      <c r="K99" s="12">
        <f>('Статистика акций за год'!K99-'Статистика акций за год'!K100)/'Статистика акций за год'!K100</f>
        <v>-5.1682322143516042E-3</v>
      </c>
      <c r="L99" s="17">
        <v>8.5999999999999993E-2</v>
      </c>
      <c r="M99" s="50">
        <f t="shared" si="1"/>
        <v>2.260562907412389E-4</v>
      </c>
    </row>
    <row r="100" spans="1:13" x14ac:dyDescent="0.25">
      <c r="A100" s="6">
        <v>45134</v>
      </c>
      <c r="B100" s="12">
        <f>('Статистика акций за год'!B100-'Статистика акций за год'!B101)/'Статистика акций за год'!B101</f>
        <v>3.8014311270125607E-3</v>
      </c>
      <c r="C100" s="12">
        <f>('Статистика акций за год'!C100-'Статистика акций за год'!C101)/'Статистика акций за год'!C101</f>
        <v>3.7934053107674683E-3</v>
      </c>
      <c r="D100" s="12">
        <f>('Статистика акций за год'!D100-'Статистика акций за год'!D101)/'Статистика акций за год'!D101</f>
        <v>-2.7686450943070129E-3</v>
      </c>
      <c r="E100" s="12">
        <f>('Статистика акций за год'!E100-'Статистика акций за год'!E101)/'Статистика акций за год'!E101</f>
        <v>1.4068597247894893E-2</v>
      </c>
      <c r="F100" s="12">
        <f>('Статистика акций за год'!F100-'Статистика акций за год'!F101)/'Статистика акций за год'!F101</f>
        <v>3.6429872495445342E-3</v>
      </c>
      <c r="G100" s="12">
        <f>('Статистика акций за год'!G100-'Статистика акций за год'!G101)/'Статистика акций за год'!G101</f>
        <v>7.0652173913043478E-3</v>
      </c>
      <c r="H100" s="12">
        <f>('Статистика акций за год'!H100-'Статистика акций за год'!H101)/'Статистика акций за год'!H101</f>
        <v>-2.2482014388489208E-3</v>
      </c>
      <c r="I100" s="12">
        <f>('Статистика акций за год'!I100-'Статистика акций за год'!I101)/'Статистика акций за год'!I101</f>
        <v>1.1599432916612966E-2</v>
      </c>
      <c r="J100" s="12">
        <f>('Статистика акций за год'!J100-'Статистика акций за год'!J101)/'Статистика акций за год'!J101</f>
        <v>5.9241706161137445E-3</v>
      </c>
      <c r="K100" s="12">
        <f>('Статистика акций за год'!K100-'Статистика акций за год'!K101)/'Статистика акций за год'!K101</f>
        <v>2.8881144463480227E-4</v>
      </c>
      <c r="L100" s="17">
        <v>8.4699999999999998E-2</v>
      </c>
      <c r="M100" s="50">
        <f t="shared" si="1"/>
        <v>2.2277399143821874E-4</v>
      </c>
    </row>
    <row r="101" spans="1:13" x14ac:dyDescent="0.25">
      <c r="A101" s="6">
        <v>45133</v>
      </c>
      <c r="B101" s="12">
        <f>('Статистика акций за год'!B101-'Статистика акций за год'!B102)/'Статистика акций за год'!B102</f>
        <v>-4.6739372356999964E-3</v>
      </c>
      <c r="C101" s="12">
        <f>('Статистика акций за год'!C101-'Статистика акций за год'!C102)/'Статистика акций за год'!C102</f>
        <v>-2.9675317118586018E-3</v>
      </c>
      <c r="D101" s="12">
        <f>('Статистика акций за год'!D101-'Статистика акций за год'!D102)/'Статистика акций за год'!D102</f>
        <v>-7.2152551108057815E-3</v>
      </c>
      <c r="E101" s="12">
        <f>('Статистика акций за год'!E101-'Статистика акций за год'!E102)/'Статистика акций за год'!E102</f>
        <v>-4.5998160073597062E-3</v>
      </c>
      <c r="F101" s="12">
        <f>('Статистика акций за год'!F101-'Статистика акций за год'!F102)/'Статистика акций за год'!F102</f>
        <v>-6.0679611650476238E-4</v>
      </c>
      <c r="G101" s="12">
        <f>('Статистика акций за год'!G101-'Статистика акций за год'!G102)/'Статистика акций за год'!G102</f>
        <v>-5.4318305268875606E-4</v>
      </c>
      <c r="H101" s="12">
        <f>('Статистика акций за год'!H101-'Статистика акций за год'!H102)/'Статистика акций за год'!H102</f>
        <v>-1.2871726586773215E-2</v>
      </c>
      <c r="I101" s="12">
        <f>('Статистика акций за год'!I101-'Статистика акций за год'!I102)/'Статистика акций за год'!I102</f>
        <v>-1.029998712501697E-3</v>
      </c>
      <c r="J101" s="12">
        <f>('Статистика акций за год'!J101-'Статистика акций за год'!J102)/'Статистика акций за год'!J102</f>
        <v>-5.6940899273513331E-3</v>
      </c>
      <c r="K101" s="12">
        <f>('Статистика акций за год'!K101-'Статистика акций за год'!K102)/'Статистика акций за год'!K102</f>
        <v>1.6368660754698553E-4</v>
      </c>
      <c r="L101" s="17">
        <v>8.3599999999999994E-2</v>
      </c>
      <c r="M101" s="50">
        <f t="shared" si="1"/>
        <v>2.1999359566948762E-4</v>
      </c>
    </row>
    <row r="102" spans="1:13" x14ac:dyDescent="0.25">
      <c r="A102" s="6">
        <v>45132</v>
      </c>
      <c r="B102" s="12">
        <f>('Статистика акций за год'!B102-'Статистика акций за год'!B103)/'Статистика акций за год'!B103</f>
        <v>1.1481314723097659E-2</v>
      </c>
      <c r="C102" s="12">
        <f>('Статистика акций за год'!C102-'Статистика акций за год'!C103)/'Статистика акций за год'!C103</f>
        <v>-6.9775555297113697E-4</v>
      </c>
      <c r="D102" s="12">
        <f>('Статистика акций за год'!D102-'Статистика акций за год'!D103)/'Статистика акций за год'!D103</f>
        <v>-1.5437392795882971E-3</v>
      </c>
      <c r="E102" s="12">
        <f>('Статистика акций за год'!E102-'Статистика акций за год'!E103)/'Статистика акций за год'!E103</f>
        <v>1.5676910299003227E-2</v>
      </c>
      <c r="F102" s="12">
        <f>('Статистика акций за год'!F102-'Статистика акций за год'!F103)/'Статистика акций за год'!F103</f>
        <v>9.515252991383118E-3</v>
      </c>
      <c r="G102" s="12">
        <f>('Статистика акций за год'!G102-'Статистика акций за год'!G103)/'Статистика акций за год'!G103</f>
        <v>-9.4161958568738224E-3</v>
      </c>
      <c r="H102" s="12">
        <f>('Статистика акций за год'!H102-'Статистика акций за год'!H103)/'Статистика акций за год'!H103</f>
        <v>7.7990430622009624E-2</v>
      </c>
      <c r="I102" s="12">
        <f>('Статистика акций за год'!I102-'Статистика акций за год'!I103)/'Статистика акций за год'!I103</f>
        <v>-1.670951156812281E-3</v>
      </c>
      <c r="J102" s="12">
        <f>('Статистика акций за год'!J102-'Статистика акций за год'!J103)/'Статистика акций за год'!J103</f>
        <v>2.2485444689821298E-2</v>
      </c>
      <c r="K102" s="12">
        <f>('Статистика акций за год'!K102-'Статистика акций за год'!K103)/'Статистика акций за год'!K103</f>
        <v>1.4882639201047456E-2</v>
      </c>
      <c r="L102" s="17">
        <v>8.4000000000000005E-2</v>
      </c>
      <c r="M102" s="50">
        <f t="shared" si="1"/>
        <v>2.2100497421395637E-4</v>
      </c>
    </row>
    <row r="103" spans="1:13" x14ac:dyDescent="0.25">
      <c r="A103" s="6">
        <v>45131</v>
      </c>
      <c r="B103" s="12">
        <f>('Статистика акций за год'!B103-'Статистика акций за год'!B104)/'Статистика акций за год'!B104</f>
        <v>4.9773755656108334E-3</v>
      </c>
      <c r="C103" s="12">
        <f>('Статистика акций за год'!C103-'Статистика акций за год'!C104)/'Статистика акций за год'!C104</f>
        <v>4.6147555347858639E-3</v>
      </c>
      <c r="D103" s="12">
        <f>('Статистика акций за год'!D103-'Статистика акций за год'!D104)/'Статистика акций за год'!D104</f>
        <v>-3.9296087476507003E-3</v>
      </c>
      <c r="E103" s="12">
        <f>('Статистика акций за год'!E103-'Статистика акций за год'!E104)/'Статистика акций за год'!E104</f>
        <v>-3.3112582781456247E-3</v>
      </c>
      <c r="F103" s="12">
        <f>('Статистика акций за год'!F103-'Статистика акций за год'!F104)/'Статистика акций за год'!F104</f>
        <v>3.0311719166018478E-3</v>
      </c>
      <c r="G103" s="12">
        <f>('Статистика акций за год'!G103-'Статистика акций за год'!G104)/'Статистика акций за год'!G104</f>
        <v>1.8356164383561645E-2</v>
      </c>
      <c r="H103" s="12">
        <f>('Статистика акций за год'!H103-'Статистика акций за год'!H104)/'Статистика акций за год'!H104</f>
        <v>2.7531956735496528E-2</v>
      </c>
      <c r="I103" s="12">
        <f>('Статистика акций за год'!I103-'Статистика акций за год'!I104)/'Статистика акций за год'!I104</f>
        <v>1.8858040859088498E-2</v>
      </c>
      <c r="J103" s="12">
        <f>('Статистика акций за год'!J103-'Статистика акций за год'!J104)/'Статистика акций за год'!J104</f>
        <v>6.8728522336770452E-3</v>
      </c>
      <c r="K103" s="12">
        <f>('Статистика акций за год'!K103-'Статистика акций за год'!K104)/'Статистика акций за год'!K104</f>
        <v>1.0835959184883025E-2</v>
      </c>
      <c r="L103" s="17">
        <v>8.4099999999999994E-2</v>
      </c>
      <c r="M103" s="50">
        <f t="shared" si="1"/>
        <v>2.2125776069681358E-4</v>
      </c>
    </row>
    <row r="104" spans="1:13" x14ac:dyDescent="0.25">
      <c r="A104" s="6">
        <v>45128</v>
      </c>
      <c r="B104" s="12">
        <f>('Статистика акций за год'!B104-'Статистика акций за год'!B105)/'Статистика акций за год'!B105</f>
        <v>7.751937984496202E-3</v>
      </c>
      <c r="C104" s="12">
        <f>('Статистика акций за год'!C104-'Статистика акций за год'!C105)/'Статистика акций за год'!C105</f>
        <v>7.4741054613936576E-3</v>
      </c>
      <c r="D104" s="12">
        <f>('Статистика акций за год'!D104-'Статистика акций за год'!D105)/'Статистика акций за год'!D105</f>
        <v>1.8829168093117236E-3</v>
      </c>
      <c r="E104" s="12">
        <f>('Статистика акций за год'!E104-'Статистика акций за год'!E105)/'Статистика акций за год'!E105</f>
        <v>1.704904230688269E-2</v>
      </c>
      <c r="F104" s="12">
        <f>('Статистика акций за год'!F104-'Статистика акций за год'!F105)/'Статистика акций за год'!F105</f>
        <v>5.8920477956324966E-3</v>
      </c>
      <c r="G104" s="12">
        <f>('Статистика акций за год'!G104-'Статистика акций за год'!G105)/'Статистика акций за год'!G105</f>
        <v>5.2327182594326628E-3</v>
      </c>
      <c r="H104" s="12">
        <f>('Статистика акций за год'!H104-'Статистика акций за год'!H105)/'Статистика акций за год'!H105</f>
        <v>1.4463840399002522E-2</v>
      </c>
      <c r="I104" s="12">
        <f>('Статистика акций за год'!I104-'Статистика акций за год'!I105)/'Статистика акций за год'!I105</f>
        <v>1.7590618336887055E-2</v>
      </c>
      <c r="J104" s="12">
        <f>('Статистика акций за год'!J104-'Статистика акций за год'!J105)/'Статистика акций за год'!J105</f>
        <v>1.2484650020466569E-2</v>
      </c>
      <c r="K104" s="12">
        <f>('Статистика акций за год'!K104-'Статистика акций за год'!K105)/'Статистика акций за год'!K105</f>
        <v>-4.092353398325645E-3</v>
      </c>
      <c r="L104" s="17">
        <v>8.3799999999999999E-2</v>
      </c>
      <c r="M104" s="50">
        <f t="shared" si="1"/>
        <v>2.2049933147272327E-4</v>
      </c>
    </row>
    <row r="105" spans="1:13" x14ac:dyDescent="0.25">
      <c r="A105" s="6">
        <v>45127</v>
      </c>
      <c r="B105" s="12">
        <f>('Статистика акций за год'!B105-'Статистика акций за год'!B106)/'Статистика акций за год'!B106</f>
        <v>1.5985384791048249E-3</v>
      </c>
      <c r="C105" s="12">
        <f>('Статистика акций за год'!C105-'Статистика акций за год'!C106)/'Статистика акций за год'!C106</f>
        <v>-1.8030513176144271E-2</v>
      </c>
      <c r="D105" s="12">
        <f>('Статистика акций за год'!D105-'Статистика акций за год'!D106)/'Статистика акций за год'!D106</f>
        <v>-1.7490750084090106E-2</v>
      </c>
      <c r="E105" s="12">
        <f>('Статистика акций за год'!E105-'Статистика акций за год'!E106)/'Статистика акций за год'!E106</f>
        <v>-2.2327399938265186E-2</v>
      </c>
      <c r="F105" s="12">
        <f>('Статистика акций за год'!F105-'Статистика акций за год'!F106)/'Статистика акций за год'!F106</f>
        <v>-1.2812690665039681E-2</v>
      </c>
      <c r="G105" s="12">
        <f>('Статистика акций за год'!G105-'Статистика акций за год'!G106)/'Статистика акций за год'!G106</f>
        <v>-5.2054794520547945E-3</v>
      </c>
      <c r="H105" s="12">
        <f>('Статистика акций за год'!H105-'Статистика акций за год'!H106)/'Статистика акций за год'!H106</f>
        <v>-2.8114396509937037E-2</v>
      </c>
      <c r="I105" s="12">
        <f>('Статистика акций за год'!I105-'Статистика акций за год'!I106)/'Статистика акций за год'!I106</f>
        <v>-4.1879468845761068E-2</v>
      </c>
      <c r="J105" s="12">
        <f>('Статистика акций за год'!J105-'Статистика акций за год'!J106)/'Статистика акций за год'!J106</f>
        <v>-1.5911379657603177E-2</v>
      </c>
      <c r="K105" s="12">
        <f>('Статистика акций за год'!K105-'Статистика акций за год'!K106)/'Статистика акций за год'!K106</f>
        <v>1.3791337070128726E-3</v>
      </c>
      <c r="L105" s="17">
        <v>8.2799999999999999E-2</v>
      </c>
      <c r="M105" s="50">
        <f t="shared" si="1"/>
        <v>2.1796972114818125E-4</v>
      </c>
    </row>
    <row r="106" spans="1:13" x14ac:dyDescent="0.25">
      <c r="A106" s="6">
        <v>45126</v>
      </c>
      <c r="B106" s="12">
        <f>('Статистика акций за год'!B106-'Статистика акций за год'!B107)/'Статистика акций за год'!B107</f>
        <v>-1.2849413886384137E-2</v>
      </c>
      <c r="C106" s="12">
        <f>('Статистика акций за год'!C106-'Статистика акций за год'!C107)/'Статистика акций за год'!C107</f>
        <v>-1.057807764880779E-2</v>
      </c>
      <c r="D106" s="12">
        <f>('Статистика акций за год'!D106-'Статистика акций за год'!D107)/'Статистика акций за год'!D107</f>
        <v>4.2222597534200303E-3</v>
      </c>
      <c r="E106" s="12">
        <f>('Статистика акций за год'!E106-'Статистика акций за год'!E107)/'Статистика акций за год'!E107</f>
        <v>-8.5688054677139427E-3</v>
      </c>
      <c r="F106" s="12">
        <f>('Статистика акций за год'!F106-'Статистика акций за год'!F107)/'Статистика акций за год'!F107</f>
        <v>-3.7281679296511565E-3</v>
      </c>
      <c r="G106" s="12">
        <f>('Статистика акций за год'!G106-'Статистика акций за год'!G107)/'Статистика акций за год'!G107</f>
        <v>-3.549003549003549E-3</v>
      </c>
      <c r="H106" s="12">
        <f>('Статистика акций за год'!H106-'Статистика акций за год'!H107)/'Статистика акций за год'!H107</f>
        <v>4.870920603994155E-3</v>
      </c>
      <c r="I106" s="12">
        <f>('Статистика акций за год'!I106-'Статистика акций за год'!I107)/'Статистика акций за год'!I107</f>
        <v>-5.8390454430057243E-3</v>
      </c>
      <c r="J106" s="12">
        <f>('Статистика акций за год'!J106-'Статистика акций за год'!J107)/'Статистика акций за год'!J107</f>
        <v>-2.4110910186859328E-3</v>
      </c>
      <c r="K106" s="12">
        <f>('Статистика акций за год'!K106-'Статистика акций за год'!K107)/'Статистика акций за год'!K107</f>
        <v>-9.6099436086558004E-3</v>
      </c>
      <c r="L106" s="17">
        <v>8.3000000000000004E-2</v>
      </c>
      <c r="M106" s="50">
        <f t="shared" si="1"/>
        <v>2.1847582954337419E-4</v>
      </c>
    </row>
    <row r="107" spans="1:13" x14ac:dyDescent="0.25">
      <c r="A107" s="6">
        <v>45125</v>
      </c>
      <c r="B107" s="12">
        <f>('Статистика акций за год'!B107-'Статистика акций за год'!B108)/'Статистика акций за год'!B108</f>
        <v>4.1803663691874146E-2</v>
      </c>
      <c r="C107" s="12">
        <f>('Статистика акций за год'!C107-'Статистика акций за год'!C108)/'Статистика акций за год'!C108</f>
        <v>2.4966301353806428E-2</v>
      </c>
      <c r="D107" s="12">
        <f>('Статистика акций за год'!D107-'Статистика акций за год'!D108)/'Статистика акций за год'!D108</f>
        <v>3.0492969676436869E-3</v>
      </c>
      <c r="E107" s="12">
        <f>('Статистика акций за год'!E107-'Статистика акций за год'!E108)/'Статистика акций за год'!E108</f>
        <v>1.7371755569179765E-3</v>
      </c>
      <c r="F107" s="12">
        <f>('Статистика акций за год'!F107-'Статистика акций за год'!F108)/'Статистика акций за год'!F108</f>
        <v>5.6237010473125394E-3</v>
      </c>
      <c r="G107" s="12">
        <f>('Статистика акций за год'!G107-'Статистика акций за год'!G108)/'Статистика акций за год'!G108</f>
        <v>-7.8548212351029247E-3</v>
      </c>
      <c r="H107" s="12">
        <f>('Статистика акций за год'!H107-'Статистика акций за год'!H108)/'Статистика акций за год'!H108</f>
        <v>-8.2125603864733748E-3</v>
      </c>
      <c r="I107" s="12">
        <f>('Статистика акций за год'!I107-'Статистика акций за год'!I108)/'Статистика акций за год'!I108</f>
        <v>-1.9004180919802358E-3</v>
      </c>
      <c r="J107" s="12">
        <f>('Статистика акций за год'!J107-'Статистика акций за год'!J108)/'Статистика акций за год'!J108</f>
        <v>2.6188557614826983E-3</v>
      </c>
      <c r="K107" s="12">
        <f>('Статистика акций за год'!K107-'Статистика акций за год'!K108)/'Статистика акций за год'!K108</f>
        <v>1.5042731657077269E-2</v>
      </c>
      <c r="L107" s="17">
        <v>8.1900000000000001E-2</v>
      </c>
      <c r="M107" s="50">
        <f t="shared" si="1"/>
        <v>2.1569107910357488E-4</v>
      </c>
    </row>
    <row r="108" spans="1:13" x14ac:dyDescent="0.25">
      <c r="A108" s="6">
        <v>45124</v>
      </c>
      <c r="B108" s="12">
        <f>('Статистика акций за год'!B108-'Статистика акций за год'!B109)/'Статистика акций за год'!B109</f>
        <v>4.4821891955649376E-3</v>
      </c>
      <c r="C108" s="12">
        <f>('Статистика акций за год'!C108-'Статистика акций за год'!C109)/'Статистика акций за год'!C109</f>
        <v>5.4802592810843072E-3</v>
      </c>
      <c r="D108" s="12">
        <f>('Статистика акций за год'!D108-'Статистика акций за год'!D109)/'Статистика акций за год'!D109</f>
        <v>-5.5592991913747782E-3</v>
      </c>
      <c r="E108" s="12">
        <f>('Статистика акций за год'!E108-'Статистика акций за год'!E109)/'Статистика акций за год'!E109</f>
        <v>3.3835742848355053E-3</v>
      </c>
      <c r="F108" s="12">
        <f>('Статистика акций за год'!F108-'Статистика акций за год'!F109)/'Статистика акций за год'!F109</f>
        <v>-4.3010752688172138E-3</v>
      </c>
      <c r="G108" s="12">
        <f>('Статистика акций за год'!G108-'Статистика акций за год'!G109)/'Статистика акций за год'!G109</f>
        <v>-2.7012425715829281E-3</v>
      </c>
      <c r="H108" s="12">
        <f>('Статистика акций за год'!H108-'Статистика акций за год'!H109)/'Статистика акций за год'!H109</f>
        <v>4.0201005025125629E-2</v>
      </c>
      <c r="I108" s="12">
        <f>('Статистика акций за год'!I108-'Статистика акций за год'!I109)/'Статистика акций за год'!I109</f>
        <v>2.2674267945063491E-2</v>
      </c>
      <c r="J108" s="12">
        <f>('Статистика акций за год'!J108-'Статистика акций за год'!J109)/'Статистика акций за год'!J109</f>
        <v>8.0645161290317994E-4</v>
      </c>
      <c r="K108" s="12">
        <f>('Статистика акций за год'!K108-'Статистика акций за год'!K109)/'Статистика акций за год'!K109</f>
        <v>-4.7604029094636818E-3</v>
      </c>
      <c r="L108" s="17">
        <v>8.2100000000000006E-2</v>
      </c>
      <c r="M108" s="50">
        <f t="shared" si="1"/>
        <v>2.1619760732227711E-4</v>
      </c>
    </row>
    <row r="109" spans="1:13" x14ac:dyDescent="0.25">
      <c r="A109" s="6">
        <v>45121</v>
      </c>
      <c r="B109" s="12">
        <f>('Статистика акций за год'!B109-'Статистика акций за год'!B110)/'Статистика акций за год'!B110</f>
        <v>0</v>
      </c>
      <c r="C109" s="12">
        <f>('Статистика акций за год'!C109-'Статистика акций за год'!C110)/'Статистика акций за год'!C110</f>
        <v>4.3797348484847336E-3</v>
      </c>
      <c r="D109" s="12">
        <f>('Статистика акций за год'!D109-'Статистика акций за год'!D110)/'Статистика акций за год'!D110</f>
        <v>-3.5252643948296501E-3</v>
      </c>
      <c r="E109" s="12">
        <f>('Статистика акций за год'!E109-'Статистика акций за год'!E110)/'Статистика акций за год'!E110</f>
        <v>-1.5356265356265358E-3</v>
      </c>
      <c r="F109" s="12">
        <f>('Статистика акций за год'!F109-'Статистика акций за год'!F110)/'Статистика акций за год'!F110</f>
        <v>1.0560948860635724E-3</v>
      </c>
      <c r="G109" s="12">
        <f>('Статистика акций за год'!G109-'Статистика акций за год'!G110)/'Статистика акций за год'!G110</f>
        <v>6.2516988312041315E-3</v>
      </c>
      <c r="H109" s="12">
        <f>('Статистика акций за год'!H109-'Статистика акций за год'!H110)/'Статистика акций за год'!H110</f>
        <v>2.7892561983471103E-2</v>
      </c>
      <c r="I109" s="12">
        <f>('Статистика акций за год'!I109-'Статистика акций за год'!I110)/'Статистика акций за год'!I110</f>
        <v>-4.3859649122808186E-3</v>
      </c>
      <c r="J109" s="12">
        <f>('Статистика акций за год'!J109-'Статистика акций за год'!J110)/'Статистика акций за год'!J110</f>
        <v>2.6278552658176905E-3</v>
      </c>
      <c r="K109" s="12">
        <f>('Статистика акций за год'!K109-'Статистика акций за год'!K110)/'Статистика акций за год'!K110</f>
        <v>6.0085666693107595E-3</v>
      </c>
      <c r="L109" s="17">
        <v>8.1000000000000003E-2</v>
      </c>
      <c r="M109" s="50">
        <f t="shared" si="1"/>
        <v>2.1341054593393416E-4</v>
      </c>
    </row>
    <row r="110" spans="1:13" x14ac:dyDescent="0.25">
      <c r="A110" s="6">
        <v>45120</v>
      </c>
      <c r="B110" s="12">
        <f>('Статистика акций за год'!B110-'Статистика акций за год'!B111)/'Статистика акций за год'!B111</f>
        <v>6.4102564102564846E-3</v>
      </c>
      <c r="C110" s="12">
        <f>('Статистика акций за год'!C110-'Статистика акций за год'!C111)/'Статистика акций за год'!C111</f>
        <v>-7.8684674104521624E-3</v>
      </c>
      <c r="D110" s="12">
        <f>('Статистика акций за год'!D110-'Статистика акций за год'!D111)/'Статистика акций за год'!D111</f>
        <v>-2.845664546367479E-3</v>
      </c>
      <c r="E110" s="12">
        <f>('Статистика акций за год'!E110-'Статистика акций за год'!E111)/'Статистика акций за год'!E111</f>
        <v>2.7717893440097853E-3</v>
      </c>
      <c r="F110" s="12">
        <f>('Статистика акций за год'!F110-'Статистика акций за год'!F111)/'Статистика акций за год'!F111</f>
        <v>-5.3733031674208648E-3</v>
      </c>
      <c r="G110" s="12">
        <f>('Статистика акций за год'!G110-'Статистика акций за год'!G111)/'Статистика акций за год'!G111</f>
        <v>-1.5256959314775161E-2</v>
      </c>
      <c r="H110" s="12">
        <f>('Статистика акций за год'!H110-'Статистика акций за год'!H111)/'Статистика акций за год'!H111</f>
        <v>-7.6883649410558691E-3</v>
      </c>
      <c r="I110" s="12">
        <f>('Статистика акций за год'!I110-'Статистика акций за год'!I111)/'Статистика акций за год'!I111</f>
        <v>4.6656298600311332E-3</v>
      </c>
      <c r="J110" s="12">
        <f>('Статистика акций за год'!J110-'Статистика акций за год'!J111)/'Статистика акций за год'!J111</f>
        <v>-1.8159806295400204E-3</v>
      </c>
      <c r="K110" s="12">
        <f>('Статистика акций за год'!K110-'Статистика акций за год'!K111)/'Статистика акций за год'!K111</f>
        <v>3.5622599454714792E-3</v>
      </c>
      <c r="L110" s="17">
        <v>8.0500000000000002E-2</v>
      </c>
      <c r="M110" s="50">
        <f t="shared" si="1"/>
        <v>2.121427647514551E-4</v>
      </c>
    </row>
    <row r="111" spans="1:13" x14ac:dyDescent="0.25">
      <c r="A111" s="6">
        <v>45119</v>
      </c>
      <c r="B111" s="12">
        <f>('Статистика акций за год'!B111-'Статистика акций за год'!B112)/'Статистика акций за год'!B112</f>
        <v>6.451612903225711E-3</v>
      </c>
      <c r="C111" s="12">
        <f>('Статистика акций за год'!C111-'Статистика акций за год'!C112)/'Статистика акций за год'!C112</f>
        <v>8.5875037015103167E-3</v>
      </c>
      <c r="D111" s="12">
        <f>('Статистика акций за год'!D111-'Статистика акций за год'!D112)/'Статистика акций за год'!D112</f>
        <v>-4.3333333333333713E-3</v>
      </c>
      <c r="E111" s="12">
        <f>('Статистика акций за год'!E111-'Статистика акций за год'!E112)/'Статистика акций за год'!E112</f>
        <v>1.7230576441102756E-2</v>
      </c>
      <c r="F111" s="12">
        <f>('Статистика акций за год'!F111-'Статистика акций за год'!F112)/'Статистика акций за год'!F112</f>
        <v>-1.8952377111980275E-3</v>
      </c>
      <c r="G111" s="12">
        <f>('Статистика акций за год'!G111-'Статистика акций за год'!G112)/'Статистика акций за год'!G112</f>
        <v>-1.190161332980693E-2</v>
      </c>
      <c r="H111" s="12">
        <f>('Статистика акций за год'!H111-'Статистика акций за год'!H112)/'Статистика акций за год'!H112</f>
        <v>1.6145833333333304E-2</v>
      </c>
      <c r="I111" s="12">
        <f>('Статистика акций за год'!I111-'Статистика акций за год'!I112)/'Статистика акций за год'!I112</f>
        <v>-5.5419512823816916E-3</v>
      </c>
      <c r="J111" s="12">
        <f>('Статистика акций за год'!J111-'Статистика акций за год'!J112)/'Статистика акций за год'!J112</f>
        <v>9.9857346647646925E-3</v>
      </c>
      <c r="K111" s="12">
        <f>('Статистика акций за год'!K111-'Статистика акций за год'!K112)/'Статистика акций за год'!K112</f>
        <v>7.3573633775710998E-3</v>
      </c>
      <c r="L111" s="17">
        <v>8.09E-2</v>
      </c>
      <c r="M111" s="50">
        <f t="shared" si="1"/>
        <v>2.1315703648672191E-4</v>
      </c>
    </row>
    <row r="112" spans="1:13" x14ac:dyDescent="0.25">
      <c r="A112" s="6">
        <v>45118</v>
      </c>
      <c r="B112" s="12">
        <f>('Статистика акций за год'!B112-'Статистика акций за год'!B113)/'Статистика акций за год'!B113</f>
        <v>-5.7020669992872888E-3</v>
      </c>
      <c r="C112" s="12">
        <f>('Статистика акций за год'!C112-'Статистика акций за год'!C113)/'Статистика акций за год'!C113</f>
        <v>7.5183483501401688E-3</v>
      </c>
      <c r="D112" s="12">
        <f>('Статистика акций за год'!D112-'Статистика акций за год'!D113)/'Статистика акций за год'!D113</f>
        <v>-7.2799470549304727E-3</v>
      </c>
      <c r="E112" s="12">
        <f>('Статистика акций за год'!E112-'Статистика акций за год'!E113)/'Статистика акций за год'!E113</f>
        <v>2.8275212064090959E-3</v>
      </c>
      <c r="F112" s="12">
        <f>('Статистика акций за год'!F112-'Статистика акций за год'!F113)/'Статистика акций за год'!F113</f>
        <v>-5.6535685645549179E-3</v>
      </c>
      <c r="G112" s="12">
        <f>('Статистика акций за год'!G112-'Статистика акций за год'!G113)/'Статистика акций за год'!G113</f>
        <v>-8.6523335081279493E-3</v>
      </c>
      <c r="H112" s="12">
        <f>('Статистика акций за год'!H112-'Статистика акций за год'!H113)/'Статистика акций за год'!H113</f>
        <v>-3.6325895173844767E-3</v>
      </c>
      <c r="I112" s="12">
        <f>('Статистика акций за год'!I112-'Статистика акций за год'!I113)/'Статистика акций за год'!I113</f>
        <v>1.3188822146774646E-2</v>
      </c>
      <c r="J112" s="12">
        <f>('Статистика акций за год'!J112-'Статистика акций за год'!J113)/'Статистика акций за год'!J113</f>
        <v>5.7388809182209706E-3</v>
      </c>
      <c r="K112" s="12">
        <f>('Статистика акций за год'!K112-'Статистика акций за год'!K113)/'Статистика акций за год'!K113</f>
        <v>4.4805122886858824E-3</v>
      </c>
      <c r="L112" s="17">
        <v>8.0199999999999994E-2</v>
      </c>
      <c r="M112" s="50">
        <f t="shared" si="1"/>
        <v>2.1138181518431942E-4</v>
      </c>
    </row>
    <row r="113" spans="1:13" x14ac:dyDescent="0.25">
      <c r="A113" s="6">
        <v>45117</v>
      </c>
      <c r="B113" s="12">
        <f>('Статистика акций за год'!B113-'Статистика акций за год'!B114)/'Статистика акций за год'!B114</f>
        <v>1.5930485155684376E-2</v>
      </c>
      <c r="C113" s="12">
        <f>('Статистика акций за год'!C113-'Статистика акций за год'!C114)/'Статистика акций за год'!C114</f>
        <v>7.5147288685824213E-3</v>
      </c>
      <c r="D113" s="12">
        <f>('Статистика акций за год'!D113-'Статистика акций за год'!D114)/'Статистика акций за год'!D114</f>
        <v>1.9052436351374057E-2</v>
      </c>
      <c r="E113" s="12">
        <f>('Статистика акций за год'!E113-'Статистика акций за год'!E114)/'Статистика акций за год'!E114</f>
        <v>-1.0261194029850724E-2</v>
      </c>
      <c r="F113" s="12">
        <f>('Статистика акций за год'!F113-'Статистика акций за год'!F114)/'Статистика акций за год'!F114</f>
        <v>2.3515410185907245E-2</v>
      </c>
      <c r="G113" s="12">
        <f>('Статистика акций за год'!G113-'Статистика акций за год'!G114)/'Статистика акций за год'!G114</f>
        <v>3.5850081477457905E-2</v>
      </c>
      <c r="H113" s="12">
        <f>('Статистика акций за год'!H113-'Статистика акций за год'!H114)/'Статистика акций за год'!H114</f>
        <v>7.8451882845188281E-3</v>
      </c>
      <c r="I113" s="12">
        <f>('Статистика акций за год'!I113-'Статистика акций за год'!I114)/'Статистика акций за год'!I114</f>
        <v>7.101525512887924E-3</v>
      </c>
      <c r="J113" s="12">
        <f>('Статистика акций за год'!J113-'Статистика акций за год'!J114)/'Статистика акций за год'!J114</f>
        <v>-2.6147704590818409E-2</v>
      </c>
      <c r="K113" s="12">
        <f>('Статистика акций за год'!K113-'Статистика акций за год'!K114)/'Статистика акций за год'!K114</f>
        <v>1.7529300876977311E-2</v>
      </c>
      <c r="L113" s="17">
        <v>0.08</v>
      </c>
      <c r="M113" s="50">
        <f t="shared" si="1"/>
        <v>2.1087439837685906E-4</v>
      </c>
    </row>
    <row r="114" spans="1:13" x14ac:dyDescent="0.25">
      <c r="A114" s="6">
        <v>45114</v>
      </c>
      <c r="B114" s="12">
        <f>('Статистика акций за год'!B114-'Статистика акций за год'!B115)/'Статистика акций за год'!B115</f>
        <v>-2.4131274131269332E-4</v>
      </c>
      <c r="C114" s="12">
        <f>('Статистика акций за год'!C114-'Статистика акций за год'!C115)/'Статистика акций за год'!C115</f>
        <v>-1.2022120702097999E-4</v>
      </c>
      <c r="D114" s="12">
        <f>('Статистика акций за год'!D114-'Статистика акций за год'!D115)/'Статистика акций за год'!D115</f>
        <v>1.3506668917779305E-3</v>
      </c>
      <c r="E114" s="12">
        <f>('Статистика акций за год'!E114-'Статистика акций за год'!E115)/'Статистика акций за год'!E115</f>
        <v>1.1851074986890356E-2</v>
      </c>
      <c r="F114" s="12">
        <f>('Статистика акций за год'!F114-'Статистика акций за год'!F115)/'Статистика акций за год'!F115</f>
        <v>1.1246679946879065E-2</v>
      </c>
      <c r="G114" s="12">
        <f>('Статистика акций за год'!G114-'Статистика акций за год'!G115)/'Статистика акций за год'!G115</f>
        <v>5.9873344847438115E-2</v>
      </c>
      <c r="H114" s="12">
        <f>('Статистика акций за год'!H114-'Статистика акций за год'!H115)/'Статистика акций за год'!H115</f>
        <v>-6.7532467532468122E-3</v>
      </c>
      <c r="I114" s="12">
        <f>('Статистика акций за год'!I114-'Статистика акций за год'!I115)/'Статистика акций за год'!I115</f>
        <v>6.0862662079915622E-3</v>
      </c>
      <c r="J114" s="12">
        <f>('Статистика акций за год'!J114-'Статистика акций за год'!J115)/'Статистика акций за год'!J115</f>
        <v>3.6057692307692535E-3</v>
      </c>
      <c r="K114" s="12">
        <f>('Статистика акций за год'!K114-'Статистика акций за год'!K115)/'Статистика акций за год'!K115</f>
        <v>5.3041928872319235E-3</v>
      </c>
      <c r="L114" s="17">
        <v>7.9399999999999998E-2</v>
      </c>
      <c r="M114" s="50">
        <f t="shared" si="1"/>
        <v>2.0935158551238509E-4</v>
      </c>
    </row>
    <row r="115" spans="1:13" x14ac:dyDescent="0.25">
      <c r="A115" s="6">
        <v>45113</v>
      </c>
      <c r="B115" s="12">
        <f>('Статистика акций за год'!B115-'Статистика акций за год'!B116)/'Статистика акций за год'!B116</f>
        <v>-1.0742420625447668E-2</v>
      </c>
      <c r="C115" s="12">
        <f>('Статистика акций за год'!C115-'Статистика акций за год'!C116)/'Статистика акций за год'!C116</f>
        <v>3.9225152374630723E-3</v>
      </c>
      <c r="D115" s="12">
        <f>('Статистика акций за год'!D115-'Статистика акций за год'!D116)/'Статистика акций за год'!D116</f>
        <v>-8.5369936391028172E-3</v>
      </c>
      <c r="E115" s="12">
        <f>('Статистика акций за год'!E115-'Статистика акций за год'!E116)/'Статистика акций за год'!E116</f>
        <v>6.0139269888162539E-3</v>
      </c>
      <c r="F115" s="12">
        <f>('Статистика акций за год'!F115-'Статистика акций за год'!F116)/'Статистика акций за год'!F116</f>
        <v>4.150238638729748E-5</v>
      </c>
      <c r="G115" s="12">
        <f>('Статистика акций за год'!G115-'Статистика акций за год'!G116)/'Статистика акций за год'!G116</f>
        <v>-0.13150000000000001</v>
      </c>
      <c r="H115" s="12">
        <f>('Статистика акций за год'!H115-'Статистика акций за год'!H116)/'Статистика акций за год'!H116</f>
        <v>-1.5560165975104323E-3</v>
      </c>
      <c r="I115" s="12">
        <f>('Статистика акций за год'!I115-'Статистика акций за год'!I116)/'Статистика акций за год'!I116</f>
        <v>1.3248542660307366E-3</v>
      </c>
      <c r="J115" s="12">
        <f>('Статистика акций за год'!J115-'Статистика акций за год'!J116)/'Статистика акций за год'!J116</f>
        <v>-4.9830576041459042E-3</v>
      </c>
      <c r="K115" s="12">
        <f>('Статистика акций за год'!K115-'Статистика акций за год'!K116)/'Статистика акций за год'!K116</f>
        <v>1.6506246582690199E-3</v>
      </c>
      <c r="L115" s="17">
        <v>7.9399999999999998E-2</v>
      </c>
      <c r="M115" s="50">
        <f t="shared" si="1"/>
        <v>2.0935158551238509E-4</v>
      </c>
    </row>
    <row r="116" spans="1:13" x14ac:dyDescent="0.25">
      <c r="A116" s="6">
        <v>45112</v>
      </c>
      <c r="B116" s="12">
        <f>('Статистика акций за год'!B116-'Статистика акций за год'!B117)/'Статистика акций за год'!B117</f>
        <v>1.4040183974824455E-2</v>
      </c>
      <c r="C116" s="12">
        <f>('Статистика акций за год'!C116-'Статистика акций за год'!C117)/'Статистика акций за год'!C117</f>
        <v>1.2688821752266342E-3</v>
      </c>
      <c r="D116" s="12">
        <f>('Статистика акций за год'!D116-'Статистика акций за год'!D117)/'Статистика акций за год'!D117</f>
        <v>2.1196581196581157E-2</v>
      </c>
      <c r="E116" s="12">
        <f>('Статистика акций за год'!E116-'Статистика акций за год'!E117)/'Статистика акций за год'!E117</f>
        <v>1.0561892691170259E-3</v>
      </c>
      <c r="F116" s="12">
        <f>('Статистика акций за год'!F116-'Статистика акций за год'!F117)/'Статистика акций за год'!F117</f>
        <v>1.038637307852098E-3</v>
      </c>
      <c r="G116" s="12">
        <f>('Статистика акций за год'!G116-'Статистика акций за год'!G117)/'Статистика акций за год'!G117</f>
        <v>2.7575833542241163E-3</v>
      </c>
      <c r="H116" s="12">
        <f>('Статистика акций за год'!H116-'Статистика акций за год'!H117)/'Статистика акций за год'!H117</f>
        <v>1.2073490813648353E-2</v>
      </c>
      <c r="I116" s="12">
        <f>('Статистика акций за год'!I116-'Статистика акций за год'!I117)/'Статистика акций за год'!I117</f>
        <v>5.3022269353125305E-4</v>
      </c>
      <c r="J116" s="12">
        <f>('Статистика акций за год'!J116-'Статистика акций за год'!J117)/'Статистика акций за год'!J117</f>
        <v>1.6822051074179188E-2</v>
      </c>
      <c r="K116" s="12">
        <f>('Статистика акций за год'!K116-'Статистика акций за год'!K117)/'Статистика акций за год'!K117</f>
        <v>-1.8330413295119564E-2</v>
      </c>
      <c r="L116" s="17">
        <v>7.9399999999999998E-2</v>
      </c>
      <c r="M116" s="50">
        <f t="shared" si="1"/>
        <v>2.0935158551238509E-4</v>
      </c>
    </row>
    <row r="117" spans="1:13" x14ac:dyDescent="0.25">
      <c r="A117" s="6">
        <v>45111</v>
      </c>
      <c r="B117" s="12">
        <f>('Статистика акций за год'!B117-'Статистика акций за год'!B118)/'Статистика акций за год'!B118</f>
        <v>-2.1090047393364942E-2</v>
      </c>
      <c r="C117" s="12">
        <f>('Статистика акций за год'!C117-'Статистика акций за год'!C118)/'Статистика акций за год'!C118</f>
        <v>-7.9127202973264185E-3</v>
      </c>
      <c r="D117" s="12">
        <f>('Статистика акций за год'!D117-'Статистика акций за год'!D118)/'Статистика акций за год'!D118</f>
        <v>1.6330785267546867E-2</v>
      </c>
      <c r="E117" s="12">
        <f>('Статистика акций за год'!E117-'Статистика акций за год'!E118)/'Статистика акций за год'!E118</f>
        <v>-9.7270160025102696E-3</v>
      </c>
      <c r="F117" s="12">
        <f>('Статистика акций за год'!F117-'Статистика акций за год'!F118)/'Статистика акций за год'!F118</f>
        <v>-1.0808367237907466E-2</v>
      </c>
      <c r="G117" s="12">
        <f>('Статистика акций за год'!G117-'Статистика акций за год'!G118)/'Статистика акций за год'!G118</f>
        <v>-2.8021442495126704E-2</v>
      </c>
      <c r="H117" s="12">
        <f>('Статистика акций за год'!H117-'Статистика акций за год'!H118)/'Статистика акций за год'!H118</f>
        <v>-1.9052523171987586E-2</v>
      </c>
      <c r="I117" s="12">
        <f>('Статистика акций за год'!I117-'Статистика акций за год'!I118)/'Статистика акций за год'!I118</f>
        <v>-2.1530479896238682E-2</v>
      </c>
      <c r="J117" s="12">
        <f>('Статистика акций за год'!J117-'Статистика акций за год'!J118)/'Статистика акций за год'!J118</f>
        <v>-1.3397320535892912E-2</v>
      </c>
      <c r="K117" s="12">
        <f>('Статистика акций за год'!K117-'Статистика акций за год'!K118)/'Статистика акций за год'!K118</f>
        <v>-5.5491771909683407E-3</v>
      </c>
      <c r="L117" s="17">
        <v>7.9500000000000001E-2</v>
      </c>
      <c r="M117" s="50">
        <f t="shared" si="1"/>
        <v>2.0960544626946742E-4</v>
      </c>
    </row>
    <row r="118" spans="1:13" x14ac:dyDescent="0.25">
      <c r="A118" s="6">
        <v>45110</v>
      </c>
      <c r="B118" s="12">
        <f>('Статистика акций за год'!B118-'Статистика акций за год'!B119)/'Статистика акций за год'!B119</f>
        <v>-1.1709601873536299E-2</v>
      </c>
      <c r="C118" s="12">
        <f>('Статистика акций за год'!C118-'Статистика акций за год'!C119)/'Статистика акций за год'!C119</f>
        <v>-2.3972192256994164E-4</v>
      </c>
      <c r="D118" s="12">
        <f>('Статистика акций за год'!D118-'Статистика акций за год'!D119)/'Статистика акций за год'!D119</f>
        <v>-3.0160067396798614E-2</v>
      </c>
      <c r="E118" s="12">
        <f>('Статистика акций за год'!E118-'Статистика акций за год'!E119)/'Статистика акций за год'!E119</f>
        <v>-8.9146885041982201E-3</v>
      </c>
      <c r="F118" s="12">
        <f>('Статистика акций за год'!F118-'Статистика акций за год'!F119)/'Статистика акций за год'!F119</f>
        <v>1.5525228496306493E-2</v>
      </c>
      <c r="G118" s="12">
        <f>('Статистика акций за год'!G118-'Статистика акций за год'!G119)/'Статистика акций за год'!G119</f>
        <v>-3.8425492033739454E-2</v>
      </c>
      <c r="H118" s="12">
        <f>('Статистика акций за год'!H118-'Статистика акций за год'!H119)/'Статистика акций за год'!H119</f>
        <v>2.1030494216614092E-2</v>
      </c>
      <c r="I118" s="12">
        <f>('Статистика акций за год'!I118-'Статистика акций за год'!I119)/'Статистика акций за год'!I119</f>
        <v>1.6747988922590065E-2</v>
      </c>
      <c r="J118" s="12">
        <f>('Статистика акций за год'!J118-'Статистика акций за год'!J119)/'Статистика акций за год'!J119</f>
        <v>-1.1073759145738512E-2</v>
      </c>
      <c r="K118" s="12">
        <f>('Статистика акций за год'!K118-'Статистика акций за год'!K119)/'Статистика акций за год'!K119</f>
        <v>1.0173560949803651E-2</v>
      </c>
      <c r="L118" s="17">
        <v>8.0399999999999999E-2</v>
      </c>
      <c r="M118" s="50">
        <f t="shared" si="1"/>
        <v>2.1188913830916256E-4</v>
      </c>
    </row>
    <row r="119" spans="1:13" x14ac:dyDescent="0.25">
      <c r="A119" s="6">
        <v>45107</v>
      </c>
      <c r="B119" s="12">
        <f>('Статистика акций за год'!B119-'Статистика акций за год'!B120)/'Статистика акций за год'!B120</f>
        <v>-7.2076261334572235E-3</v>
      </c>
      <c r="C119" s="12">
        <f>('Статистика акций за год'!C119-'Статистика акций за год'!C120)/'Статистика акций за год'!C120</f>
        <v>-6.0757684060041804E-3</v>
      </c>
      <c r="D119" s="12">
        <f>('Статистика акций за год'!D119-'Статистика акций за год'!D120)/'Статистика акций за год'!D120</f>
        <v>-2.2240527182866558E-2</v>
      </c>
      <c r="E119" s="12">
        <f>('Статистика акций за год'!E119-'Статистика акций за год'!E120)/'Статистика акций за год'!E120</f>
        <v>5.1856461315079858E-4</v>
      </c>
      <c r="F119" s="12">
        <f>('Статистика акций за год'!F119-'Статистика акций за год'!F120)/'Статистика акций за год'!F120</f>
        <v>-1.5833993083044936E-3</v>
      </c>
      <c r="G119" s="12">
        <f>('Статистика акций за год'!G119-'Статистика акций за год'!G120)/'Статистика акций за год'!G120</f>
        <v>-1.0662957811775614E-2</v>
      </c>
      <c r="H119" s="12">
        <f>('Статистика акций за год'!H119-'Статистика акций за год'!H120)/'Статистика акций за год'!H120</f>
        <v>3.1645569620252865E-3</v>
      </c>
      <c r="I119" s="12">
        <f>('Статистика акций за год'!I119-'Статистика акций за год'!I120)/'Статистика акций за год'!I120</f>
        <v>7.038512616201799E-3</v>
      </c>
      <c r="J119" s="12">
        <f>('Статистика акций за год'!J119-'Статистика акций за год'!J120)/'Статистика акций за год'!J120</f>
        <v>-3.9393342525113253E-3</v>
      </c>
      <c r="K119" s="12">
        <f>('Статистика акций за год'!K119-'Статистика акций за год'!K120)/'Статистика акций за год'!K120</f>
        <v>-2.3727938182215455E-2</v>
      </c>
      <c r="L119" s="17">
        <v>7.9799999999999996E-2</v>
      </c>
      <c r="M119" s="50">
        <f t="shared" si="1"/>
        <v>2.1036688785236457E-4</v>
      </c>
    </row>
    <row r="120" spans="1:13" x14ac:dyDescent="0.25">
      <c r="A120" s="6">
        <v>45106</v>
      </c>
      <c r="B120" s="12">
        <f>('Статистика акций за год'!B120-'Статистика акций за год'!B121)/'Статистика акций за год'!B121</f>
        <v>1.9435885280872253E-2</v>
      </c>
      <c r="C120" s="12">
        <f>('Статистика акций за год'!C120-'Статистика акций за год'!C121)/'Статистика акций за год'!C121</f>
        <v>-1.0116036893782559E-3</v>
      </c>
      <c r="D120" s="12">
        <f>('Статистика акций за год'!D120-'Статистика акций за год'!D121)/'Статистика акций за год'!D121</f>
        <v>-6.3840235717793053E-3</v>
      </c>
      <c r="E120" s="12">
        <f>('Статистика акций за год'!E120-'Статистика акций за год'!E121)/'Статистика акций за год'!E121</f>
        <v>1.0585892464102319E-2</v>
      </c>
      <c r="F120" s="12">
        <f>('Статистика акций за год'!F120-'Статистика акций за год'!F121)/'Статистика акций за год'!F121</f>
        <v>1.3351691909710085E-3</v>
      </c>
      <c r="G120" s="12">
        <f>('Статистика акций за год'!G120-'Статистика акций за год'!G121)/'Статистика акций за год'!G121</f>
        <v>-2.3126734505087882E-3</v>
      </c>
      <c r="H120" s="12">
        <f>('Статистика акций за год'!H120-'Статистика акций за год'!H121)/'Статистика акций за год'!H121</f>
        <v>0</v>
      </c>
      <c r="I120" s="12">
        <f>('Статистика акций за год'!I120-'Статистика акций за год'!I121)/'Статистика акций за год'!I121</f>
        <v>4.0000000000000001E-3</v>
      </c>
      <c r="J120" s="12">
        <f>('Статистика акций за год'!J120-'Статистика акций за год'!J121)/'Статистика акций за год'!J121</f>
        <v>1.5399999999999978E-2</v>
      </c>
      <c r="K120" s="12">
        <f>('Статистика акций за год'!K120-'Статистика акций за год'!K121)/'Статистика акций за год'!K121</f>
        <v>-7.7364292190640494E-3</v>
      </c>
      <c r="L120" s="17">
        <v>7.9699999999999993E-2</v>
      </c>
      <c r="M120" s="50">
        <f t="shared" si="1"/>
        <v>2.1011309743501627E-4</v>
      </c>
    </row>
    <row r="121" spans="1:13" x14ac:dyDescent="0.25">
      <c r="A121" s="6">
        <v>45105</v>
      </c>
      <c r="B121" s="12">
        <f>('Статистика акций за год'!B121-'Статистика акций за год'!B122)/'Статистика акций за год'!B122</f>
        <v>-2.6004728132387575E-3</v>
      </c>
      <c r="C121" s="12">
        <f>('Статистика акций за год'!C121-'Статистика акций за год'!C122)/'Статистика акций за год'!C122</f>
        <v>9.6124962451187915E-3</v>
      </c>
      <c r="D121" s="12">
        <f>('Статистика акций за год'!D121-'Статистика акций за год'!D122)/'Статистика акций за год'!D122</f>
        <v>-0.11961377720132585</v>
      </c>
      <c r="E121" s="12">
        <f>('Статистика акций за год'!E121-'Статистика акций за год'!E122)/'Статистика акций за год'!E122</f>
        <v>2.5218030892087601E-3</v>
      </c>
      <c r="F121" s="12">
        <f>('Статистика акций за год'!F121-'Статистика акций за год'!F122)/'Статистика акций за год'!F122</f>
        <v>-6.3844782554621305E-3</v>
      </c>
      <c r="G121" s="12">
        <f>('Статистика акций за год'!G121-'Статистика акций за год'!G122)/'Статистика акций за год'!G122</f>
        <v>6.9864927806241265E-3</v>
      </c>
      <c r="H121" s="12">
        <f>('Статистика акций за год'!H121-'Статистика акций за год'!H122)/'Статистика акций за год'!H122</f>
        <v>-5.768222338751937E-3</v>
      </c>
      <c r="I121" s="12">
        <f>('Статистика акций за год'!I121-'Статистика акций за год'!I122)/'Статистика акций за год'!I122</f>
        <v>1.433594806599949E-2</v>
      </c>
      <c r="J121" s="12">
        <f>('Статистика акций за год'!J121-'Статистика акций за год'!J122)/'Статистика акций за год'!J122</f>
        <v>4.2177144004820703E-3</v>
      </c>
      <c r="K121" s="12">
        <f>('Статистика акций за год'!K121-'Статистика акций за год'!K122)/'Статистика акций за год'!K122</f>
        <v>-1.3187582665525615E-2</v>
      </c>
      <c r="L121" s="17">
        <v>7.9299999999999995E-2</v>
      </c>
      <c r="M121" s="50">
        <f t="shared" si="1"/>
        <v>2.0909770129984295E-4</v>
      </c>
    </row>
    <row r="122" spans="1:13" x14ac:dyDescent="0.25">
      <c r="A122" s="6">
        <v>45104</v>
      </c>
      <c r="B122" s="12">
        <f>('Статистика акций за год'!B122-'Статистика акций за год'!B123)/'Статистика акций за год'!B123</f>
        <v>2.1245774987928425E-2</v>
      </c>
      <c r="C122" s="12">
        <f>('Статистика акций за год'!C122-'Статистика акций за год'!C123)/'Статистика акций за год'!C123</f>
        <v>-2.7559762746390748E-3</v>
      </c>
      <c r="D122" s="12">
        <f>('Статистика акций за год'!D122-'Статистика акций за год'!D123)/'Статистика акций за год'!D123</f>
        <v>7.9895409645554909E-3</v>
      </c>
      <c r="E122" s="12">
        <f>('Статистика акций за год'!E122-'Статистика акций за год'!E123)/'Статистика акций за год'!E123</f>
        <v>3.0564924114672124E-3</v>
      </c>
      <c r="F122" s="12">
        <f>('Статистика акций за год'!F122-'Статистика акций за год'!F123)/'Статистика акций за год'!F123</f>
        <v>1.1786912751677862E-2</v>
      </c>
      <c r="G122" s="12">
        <f>('Статистика акций за год'!G122-'Статистика акций за год'!G123)/'Статистика акций за год'!G123</f>
        <v>5.3851557012409273E-3</v>
      </c>
      <c r="H122" s="12">
        <f>('Статистика акций за год'!H122-'Статистика акций за год'!H123)/'Статистика акций за год'!H123</f>
        <v>6.3324538258574597E-3</v>
      </c>
      <c r="I122" s="12">
        <f>('Статистика акций за год'!I122-'Статистика акций за год'!I123)/'Статистика акций за год'!I123</f>
        <v>-4.309183948289854E-3</v>
      </c>
      <c r="J122" s="12">
        <f>('Статистика акций за год'!J122-'Статистика акций за год'!J123)/'Статистика акций за год'!J123</f>
        <v>-1.2036108324975381E-3</v>
      </c>
      <c r="K122" s="12">
        <f>('Статистика акций за год'!K122-'Статистика акций за год'!K123)/'Статистика акций за год'!K123</f>
        <v>6.7164032974994748E-3</v>
      </c>
      <c r="L122" s="17">
        <v>7.8299999999999995E-2</v>
      </c>
      <c r="M122" s="50">
        <f t="shared" si="1"/>
        <v>2.0655756817555826E-4</v>
      </c>
    </row>
    <row r="123" spans="1:13" x14ac:dyDescent="0.25">
      <c r="A123" s="6">
        <v>45103</v>
      </c>
      <c r="B123" s="12">
        <f>('Статистика акций за год'!B123-'Статистика акций за год'!B124)/'Статистика акций за год'!B124</f>
        <v>1.7440432326209798E-2</v>
      </c>
      <c r="C123" s="12">
        <f>('Статистика акций за год'!C123-'Статистика акций за год'!C124)/'Статистика акций за год'!C124</f>
        <v>6.6948130277441802E-3</v>
      </c>
      <c r="D123" s="12">
        <f>('Статистика акций за год'!D123-'Статистика акций за год'!D124)/'Статистика акций за год'!D124</f>
        <v>1.3097866077998494E-2</v>
      </c>
      <c r="E123" s="12">
        <f>('Статистика акций за год'!E123-'Статистика акций за год'!E124)/'Статистика акций за год'!E124</f>
        <v>1.4650839482408225E-2</v>
      </c>
      <c r="F123" s="12">
        <f>('Статистика акций за год'!F123-'Статистика акций за год'!F124)/'Статистика акций за год'!F124</f>
        <v>1.1583994568676616E-2</v>
      </c>
      <c r="G123" s="12">
        <f>('Статистика акций за год'!G123-'Статистика акций за год'!G124)/'Статистика акций за год'!G124</f>
        <v>4.9411764705882353E-3</v>
      </c>
      <c r="H123" s="12">
        <f>('Статистика акций за год'!H123-'Статистика акций за год'!H124)/'Статистика акций за год'!H124</f>
        <v>1.0127931769722846E-2</v>
      </c>
      <c r="I123" s="12">
        <f>('Статистика акций за год'!I123-'Статистика акций за год'!I124)/'Статистика акций за год'!I124</f>
        <v>-8.5447263017356164E-3</v>
      </c>
      <c r="J123" s="12">
        <f>('Статистика акций за год'!J123-'Статистика акций за год'!J124)/'Статистика акций за год'!J124</f>
        <v>7.8851597250302816E-3</v>
      </c>
      <c r="K123" s="12">
        <f>('Статистика акций за год'!K123-'Статистика акций за год'!K124)/'Статистика акций за год'!K124</f>
        <v>-1.7894402830796463E-2</v>
      </c>
      <c r="L123" s="17">
        <v>7.9299999999999995E-2</v>
      </c>
      <c r="M123" s="50">
        <f t="shared" si="1"/>
        <v>2.0909770129984295E-4</v>
      </c>
    </row>
    <row r="124" spans="1:13" x14ac:dyDescent="0.25">
      <c r="A124" s="6">
        <v>45100</v>
      </c>
      <c r="B124" s="12">
        <f>('Статистика акций за год'!B124-'Статистика акций за год'!B125)/'Статистика акций за год'!B125</f>
        <v>-3.1866825208085529E-2</v>
      </c>
      <c r="C124" s="12">
        <f>('Статистика акций за год'!C124-'Статистика акций за год'!C125)/'Статистика акций за год'!C125</f>
        <v>-1.549789204916564E-2</v>
      </c>
      <c r="D124" s="12">
        <f>('Статистика акций за год'!D124-'Статистика акций за год'!D125)/'Статистика акций за год'!D125</f>
        <v>-1.6927083333333398E-2</v>
      </c>
      <c r="E124" s="12">
        <f>('Статистика акций за год'!E124-'Статистика акций за год'!E125)/'Статистика акций за год'!E125</f>
        <v>-1.6615837627510732E-2</v>
      </c>
      <c r="F124" s="12">
        <f>('Статистика акций за год'!F124-'Статистика акций за год'!F125)/'Статистика акций за год'!F125</f>
        <v>-2.0734646389096688E-2</v>
      </c>
      <c r="G124" s="12">
        <f>('Статистика акций за год'!G124-'Статистика акций за год'!G125)/'Статистика акций за год'!G125</f>
        <v>-2.3474178403755869E-3</v>
      </c>
      <c r="H124" s="12">
        <f>('Статистика акций за год'!H124-'Статистика акций за год'!H125)/'Статистика акций за год'!H125</f>
        <v>-3.0490956072351451E-2</v>
      </c>
      <c r="I124" s="12">
        <f>('Статистика акций за год'!I124-'Статистика акций за год'!I125)/'Статистика акций за год'!I125</f>
        <v>-2.7903958468526932E-2</v>
      </c>
      <c r="J124" s="12">
        <f>('Статистика акций за год'!J124-'Статистика акций за год'!J125)/'Статистика акций за год'!J125</f>
        <v>-1.9234582589728315E-2</v>
      </c>
      <c r="K124" s="12">
        <f>('Статистика акций за год'!K124-'Статистика акций за год'!K125)/'Статистика акций за год'!K125</f>
        <v>-1.5328826525781641E-2</v>
      </c>
      <c r="L124" s="17">
        <v>7.9100000000000004E-2</v>
      </c>
      <c r="M124" s="50">
        <f t="shared" si="1"/>
        <v>2.0858986249150391E-4</v>
      </c>
    </row>
    <row r="125" spans="1:13" x14ac:dyDescent="0.25">
      <c r="A125" s="6">
        <v>45099</v>
      </c>
      <c r="B125" s="12">
        <f>('Статистика акций за год'!B125-'Статистика акций за год'!B126)/'Статистика акций за год'!B126</f>
        <v>-2.5718257645968478E-2</v>
      </c>
      <c r="C125" s="12">
        <f>('Статистика акций за год'!C125-'Статистика акций за год'!C126)/'Статистика акций за год'!C126</f>
        <v>-1.0517038777908298E-2</v>
      </c>
      <c r="D125" s="12">
        <f>('Статистика акций за год'!D125-'Статистика акций за год'!D126)/'Статистика акций за год'!D126</f>
        <v>-2.7413071706824084E-3</v>
      </c>
      <c r="E125" s="12">
        <f>('Статистика акций за год'!E125-'Статистика акций за год'!E126)/'Статистика акций за год'!E126</f>
        <v>-1.2257193310481009E-2</v>
      </c>
      <c r="F125" s="12">
        <f>('Статистика акций за год'!F125-'Статистика акций за год'!F126)/'Статистика акций за год'!F126</f>
        <v>-6.3583815028901407E-3</v>
      </c>
      <c r="G125" s="12">
        <f>('Статистика акций за год'!G125-'Статистика акций за год'!G126)/'Статистика акций за год'!G126</f>
        <v>4.2432814710042432E-3</v>
      </c>
      <c r="H125" s="12">
        <f>('Статистика акций за год'!H125-'Статистика акций за год'!H126)/'Статистика акций за год'!H126</f>
        <v>-2.1244309559939247E-2</v>
      </c>
      <c r="I125" s="12">
        <f>('Статистика акций за год'!I125-'Статистика акций за год'!I126)/'Статистика акций за год'!I126</f>
        <v>-3.7496767520041083E-3</v>
      </c>
      <c r="J125" s="12">
        <f>('Статистика акций за год'!J125-'Статистика акций за год'!J126)/'Статистика акций за год'!J126</f>
        <v>1.9868865487780649E-3</v>
      </c>
      <c r="K125" s="12">
        <f>('Статистика акций за год'!K125-'Статистика акций за год'!K126)/'Статистика акций за год'!K126</f>
        <v>-1.4748425889159391E-3</v>
      </c>
      <c r="L125" s="17">
        <v>7.8899999999999998E-2</v>
      </c>
      <c r="M125" s="50">
        <f t="shared" si="1"/>
        <v>2.0808192980958928E-4</v>
      </c>
    </row>
    <row r="126" spans="1:13" x14ac:dyDescent="0.25">
      <c r="A126" s="6">
        <v>45098</v>
      </c>
      <c r="B126" s="12">
        <f>('Статистика акций за год'!B126-'Статистика акций за год'!B127)/'Статистика акций за год'!B127</f>
        <v>8.1756598925483374E-3</v>
      </c>
      <c r="C126" s="12">
        <f>('Статистика акций за год'!C126-'Статистика акций за год'!C127)/'Статистика акций за год'!C127</f>
        <v>3.301108229191242E-3</v>
      </c>
      <c r="D126" s="12">
        <f>('Статистика акций за год'!D126-'Статистика акций за год'!D127)/'Статистика акций за год'!D127</f>
        <v>2.6037899609432495E-3</v>
      </c>
      <c r="E126" s="12">
        <f>('Статистика акций за год'!E126-'Статистика акций за год'!E127)/'Статистика акций за год'!E127</f>
        <v>-4.2407943731898106E-3</v>
      </c>
      <c r="F126" s="12">
        <f>('Статистика акций за год'!F126-'Статистика акций за год'!F127)/'Статистика акций за год'!F127</f>
        <v>1.9028708529824584E-3</v>
      </c>
      <c r="G126" s="12">
        <f>('Статистика акций за год'!G126-'Статистика акций за год'!G127)/'Статистика акций за год'!G127</f>
        <v>4.9751243781094526E-3</v>
      </c>
      <c r="H126" s="12">
        <f>('Статистика акций за год'!H126-'Статистика акций за год'!H127)/'Статистика акций за год'!H127</f>
        <v>2.1177685950413194E-2</v>
      </c>
      <c r="I126" s="12">
        <f>('Статистика акций за год'!I126-'Статистика акций за год'!I127)/'Статистика акций за год'!I127</f>
        <v>-7.3161340007701775E-3</v>
      </c>
      <c r="J126" s="12">
        <f>('Статистика акций за год'!J126-'Статистика акций за год'!J127)/'Статистика акций за год'!J127</f>
        <v>-5.9571088165212744E-4</v>
      </c>
      <c r="K126" s="12">
        <f>('Статистика акций за год'!K126-'Статистика акций за год'!K127)/'Статистика акций за год'!K127</f>
        <v>1.4219827214237016E-2</v>
      </c>
      <c r="L126" s="17">
        <v>7.9200000000000007E-2</v>
      </c>
      <c r="M126" s="50">
        <f t="shared" si="1"/>
        <v>2.0884379362762218E-4</v>
      </c>
    </row>
    <row r="127" spans="1:13" x14ac:dyDescent="0.25">
      <c r="A127" s="6">
        <v>45097</v>
      </c>
      <c r="B127" s="12">
        <f>('Статистика акций за год'!B127-'Статистика акций за год'!B128)/'Статистика акций за год'!B128</f>
        <v>-1.0402219140083119E-2</v>
      </c>
      <c r="C127" s="12">
        <f>('Статистика акций за год'!C127-'Статистика акций за год'!C128)/'Статистика акций за год'!C128</f>
        <v>-3.2316822374993323E-3</v>
      </c>
      <c r="D127" s="12">
        <f>('Статистика акций за год'!D127-'Статистика акций за год'!D128)/'Статистика акций за год'!D128</f>
        <v>5.673552516729673E-3</v>
      </c>
      <c r="E127" s="12">
        <f>('Статистика акций за год'!E127-'Статистика акций за год'!E128)/'Статистика акций за год'!E128</f>
        <v>-5.0427086549347444E-3</v>
      </c>
      <c r="F127" s="12">
        <f>('Статистика акций за год'!F127-'Статистика акций за год'!F128)/'Статистика акций за год'!F128</f>
        <v>-2.2288261515601452E-3</v>
      </c>
      <c r="G127" s="12">
        <f>('Статистика акций за год'!G127-'Статистика акций за год'!G128)/'Статистика акций за год'!G128</f>
        <v>3.5574092247301278E-2</v>
      </c>
      <c r="H127" s="12">
        <f>('Статистика акций за год'!H127-'Статистика акций за год'!H128)/'Статистика акций за год'!H128</f>
        <v>3.6288232244685776E-3</v>
      </c>
      <c r="I127" s="12">
        <f>('Статистика акций за год'!I127-'Статистика акций за год'!I128)/'Статистика акций за год'!I128</f>
        <v>2.445759368836295E-2</v>
      </c>
      <c r="J127" s="12">
        <f>('Статистика акций за год'!J127-'Статистика акций за год'!J128)/'Статистика акций за год'!J128</f>
        <v>0</v>
      </c>
      <c r="K127" s="12">
        <f>('Статистика акций за год'!K127-'Статистика акций за год'!K128)/'Статистика акций за год'!K128</f>
        <v>-1.0812759055685581E-2</v>
      </c>
      <c r="L127" s="17">
        <v>7.8700000000000006E-2</v>
      </c>
      <c r="M127" s="50">
        <f t="shared" si="1"/>
        <v>2.0757390321946012E-4</v>
      </c>
    </row>
    <row r="128" spans="1:13" x14ac:dyDescent="0.25">
      <c r="A128" s="6">
        <v>45096</v>
      </c>
      <c r="B128" s="12">
        <f>('Статистика акций за год'!B128-'Статистика акций за год'!B129)/'Статистика акций за год'!B129</f>
        <v>-2.7662517289074352E-3</v>
      </c>
      <c r="C128" s="12">
        <f>('Статистика акций за год'!C128-'Статистика акций за год'!C129)/'Статистика акций за год'!C129</f>
        <v>1.883793489138713E-3</v>
      </c>
      <c r="D128" s="12">
        <f>('Статистика акций за год'!D128-'Статистика акций за год'!D129)/'Статистика акций за год'!D129</f>
        <v>5.1177072671443197E-3</v>
      </c>
      <c r="E128" s="12">
        <f>('Статистика акций за год'!E128-'Статистика акций за год'!E129)/'Статистика акций за год'!E129</f>
        <v>1.1344712739383943E-2</v>
      </c>
      <c r="F128" s="12">
        <f>('Статистика акций за год'!F128-'Статистика акций за год'!F129)/'Статистика акций за год'!F129</f>
        <v>-6.5198671423299433E-3</v>
      </c>
      <c r="G128" s="12">
        <f>('Статистика акций за год'!G128-'Статистика акций за год'!G129)/'Статистика акций за год'!G129</f>
        <v>1.9E-2</v>
      </c>
      <c r="H128" s="12">
        <f>('Статистика акций за год'!H128-'Статистика акций за год'!H129)/'Статистика акций за год'!H129</f>
        <v>2.0779220779221074E-3</v>
      </c>
      <c r="I128" s="12">
        <f>('Статистика акций за год'!I128-'Статистика акций за год'!I129)/'Статистика акций за год'!I129</f>
        <v>2.8814935064935002E-2</v>
      </c>
      <c r="J128" s="12">
        <f>('Статистика акций за год'!J128-'Статистика акций за год'!J129)/'Статистика акций за год'!J129</f>
        <v>-1.5829587649013026E-2</v>
      </c>
      <c r="K128" s="12">
        <f>('Статистика акций за год'!K128-'Статистика акций за год'!K129)/'Статистика акций за год'!K129</f>
        <v>6.5300199528386662E-3</v>
      </c>
      <c r="L128" s="17">
        <v>7.85E-2</v>
      </c>
      <c r="M128" s="50">
        <f t="shared" si="1"/>
        <v>2.0706578268647746E-4</v>
      </c>
    </row>
    <row r="129" spans="1:13" x14ac:dyDescent="0.25">
      <c r="A129" s="6">
        <v>45093</v>
      </c>
      <c r="B129" s="12">
        <f>('Статистика акций за год'!B129-'Статистика акций за год'!B130)/'Статистика акций за год'!B130</f>
        <v>3.0057803468208685E-3</v>
      </c>
      <c r="C129" s="12">
        <f>('Статистика акций за год'!C129-'Статистика акций за год'!C130)/'Статистика акций за год'!C130</f>
        <v>-1.1579192365879256E-2</v>
      </c>
      <c r="D129" s="12">
        <f>('Статистика акций за год'!D129-'Статистика акций за год'!D130)/'Статистика акций за год'!D130</f>
        <v>1.6045164165799961E-2</v>
      </c>
      <c r="E129" s="12">
        <f>('Статистика акций за год'!E129-'Статистика акций за год'!E130)/'Статистика акций за год'!E130</f>
        <v>-2.8022833419824034E-3</v>
      </c>
      <c r="F129" s="12">
        <f>('Статистика акций за год'!F129-'Статистика акций за год'!F130)/'Статистика акций за год'!F130</f>
        <v>-5.3430132963537087E-3</v>
      </c>
      <c r="G129" s="12">
        <f>('Статистика акций за год'!G129-'Статистика акций за год'!G130)/'Статистика акций за год'!G130</f>
        <v>1.0866818296689411E-2</v>
      </c>
      <c r="H129" s="12">
        <f>('Статистика акций за год'!H129-'Статистика акций за год'!H130)/'Статистика акций за год'!H130</f>
        <v>-6.1951471347443917E-3</v>
      </c>
      <c r="I129" s="12">
        <f>('Статистика акций за год'!I129-'Статистика акций за год'!I130)/'Статистика акций за год'!I130</f>
        <v>-1.4794082367053058E-2</v>
      </c>
      <c r="J129" s="12">
        <f>('Статистика акций за год'!J129-'Статистика акций за год'!J130)/'Статистика акций за год'!J130</f>
        <v>-6.4077669902912844E-3</v>
      </c>
      <c r="K129" s="12">
        <f>('Статистика акций за год'!K129-'Статистика акций за год'!K130)/'Статистика акций за год'!K130</f>
        <v>-6.4782320022763228E-3</v>
      </c>
      <c r="L129" s="17">
        <v>7.8E-2</v>
      </c>
      <c r="M129" s="50">
        <f t="shared" si="1"/>
        <v>2.0579507012485898E-4</v>
      </c>
    </row>
    <row r="130" spans="1:13" x14ac:dyDescent="0.25">
      <c r="A130" s="6">
        <v>45092</v>
      </c>
      <c r="B130" s="12">
        <f>('Статистика акций за год'!B130-'Статистика акций за год'!B131)/'Статистика акций за год'!B131</f>
        <v>5.0267119961146196E-2</v>
      </c>
      <c r="C130" s="12">
        <f>('Статистика акций за год'!C130-'Статистика акций за год'!C131)/'Статистика акций за год'!C131</f>
        <v>2.3707410054801158E-2</v>
      </c>
      <c r="D130" s="12">
        <f>('Статистика акций за год'!D130-'Статистика акций за год'!D131)/'Статистика акций за год'!D131</f>
        <v>1.8922191946715107E-2</v>
      </c>
      <c r="E130" s="12">
        <f>('Статистика акций за год'!E130-'Статистика акций за год'!E131)/'Статистика акций за год'!E131</f>
        <v>7.0025083612040616E-3</v>
      </c>
      <c r="F130" s="12">
        <f>('Статистика акций за год'!F130-'Статистика акций за год'!F131)/'Статистика акций за год'!F131</f>
        <v>2.3712183156173855E-3</v>
      </c>
      <c r="G130" s="12">
        <f>('Статистика акций за год'!G130-'Статистика акций за год'!G131)/'Статистика акций за год'!G131</f>
        <v>2.7876330461226559E-3</v>
      </c>
      <c r="H130" s="12">
        <f>('Статистика акций за год'!H130-'Статистика акций за год'!H131)/'Статистика акций за год'!H131</f>
        <v>1.4136125654450202E-2</v>
      </c>
      <c r="I130" s="12">
        <f>('Статистика акций за год'!I130-'Статистика акций за год'!I131)/'Статистика акций за год'!I131</f>
        <v>1.8184285520423366E-2</v>
      </c>
      <c r="J130" s="12">
        <f>('Статистика акций за год'!J130-'Статистика акций за год'!J131)/'Статистика акций за год'!J131</f>
        <v>5.5111657447244368E-2</v>
      </c>
      <c r="K130" s="12">
        <f>('Статистика акций за год'!K130-'Статистика акций за год'!K131)/'Статистика акций за год'!K131</f>
        <v>1.7870417748771461E-2</v>
      </c>
      <c r="L130" s="17">
        <v>7.7799999999999994E-2</v>
      </c>
      <c r="M130" s="50">
        <f t="shared" si="1"/>
        <v>2.0528662051710889E-4</v>
      </c>
    </row>
    <row r="131" spans="1:13" x14ac:dyDescent="0.25">
      <c r="A131" s="6">
        <v>45091</v>
      </c>
      <c r="B131" s="12">
        <f>('Статистика акций за год'!B131-'Статистика акций за год'!B132)/'Статистика акций за год'!B132</f>
        <v>1.2539955741332627E-2</v>
      </c>
      <c r="C131" s="12">
        <f>('Статистика акций за год'!C131-'Статистика акций за год'!C132)/'Статистика акций за год'!C132</f>
        <v>-3.2654515228879139E-3</v>
      </c>
      <c r="D131" s="12">
        <f>('Статистика акций за год'!D131-'Статистика акций за год'!D132)/'Статистика акций за год'!D132</f>
        <v>-6.0514372163385363E-4</v>
      </c>
      <c r="E131" s="12">
        <f>('Статистика акций за год'!E131-'Статистика акций за год'!E132)/'Статистика акций за год'!E132</f>
        <v>-3.021777638845567E-3</v>
      </c>
      <c r="F131" s="12">
        <f>('Статистика акций за год'!F131-'Статистика акций за год'!F132)/'Статистика акций за год'!F132</f>
        <v>1.105062824867932E-3</v>
      </c>
      <c r="G131" s="12">
        <f>('Статистика акций за год'!G131-'Статистика акций за год'!G132)/'Статистика акций за год'!G132</f>
        <v>2.5348542458808617E-4</v>
      </c>
      <c r="H131" s="12">
        <f>('Статистика акций за год'!H131-'Статистика акций за год'!H132)/'Статистика акций за год'!H132</f>
        <v>1.5731515469324141E-3</v>
      </c>
      <c r="I131" s="12">
        <f>('Статистика акций за год'!I131-'Статистика акций за год'!I132)/'Статистика акций за год'!I132</f>
        <v>1.2086251888476795E-2</v>
      </c>
      <c r="J131" s="12">
        <f>('Статистика акций за год'!J131-'Статистика акций за год'!J132)/'Статистика акций за год'!J132</f>
        <v>1.4760914760914809E-2</v>
      </c>
      <c r="K131" s="12">
        <f>('Статистика акций за год'!K131-'Статистика акций за год'!K132)/'Статистика акций за год'!K132</f>
        <v>4.9968951331210345E-3</v>
      </c>
      <c r="L131" s="17">
        <v>7.8600000000000003E-2</v>
      </c>
      <c r="M131" s="50">
        <f t="shared" si="1"/>
        <v>2.0731985469812919E-4</v>
      </c>
    </row>
    <row r="132" spans="1:13" x14ac:dyDescent="0.25">
      <c r="A132" s="6">
        <v>45090</v>
      </c>
      <c r="B132" s="12">
        <f>('Статистика акций за год'!B132-'Статистика акций за год'!B133)/'Статистика акций за год'!B133</f>
        <v>1.5227159261108323E-2</v>
      </c>
      <c r="C132" s="12">
        <f>('Статистика акций за год'!C132-'Статистика акций за год'!C133)/'Статистика акций за год'!C133</f>
        <v>1.7212223698514276E-2</v>
      </c>
      <c r="D132" s="12">
        <f>('Статистика акций за год'!D132-'Статистика акций за год'!D133)/'Статистика акций за год'!D133</f>
        <v>4.8647005168744994E-3</v>
      </c>
      <c r="E132" s="12">
        <f>('Статистика акций за год'!E132-'Статистика акций за год'!E133)/'Статистика акций за год'!E133</f>
        <v>3.5275080906148913E-2</v>
      </c>
      <c r="F132" s="12">
        <f>('Статистика акций за год'!F132-'Статистика акций за год'!F133)/'Статистика акций за год'!F133</f>
        <v>1.6347753743760428E-2</v>
      </c>
      <c r="G132" s="12">
        <f>('Статистика акций за год'!G132-'Статистика акций за год'!G133)/'Статистика акций за год'!G133</f>
        <v>1.5182707153885743E-2</v>
      </c>
      <c r="H132" s="12">
        <f>('Статистика акций за год'!H132-'Статистика акций за год'!H133)/'Статистика акций за год'!H133</f>
        <v>1.5982951518380396E-2</v>
      </c>
      <c r="I132" s="12">
        <f>('Статистика акций за год'!I132-'Статистика акций за год'!I133)/'Статистика акций за год'!I133</f>
        <v>2.6071025930101466E-2</v>
      </c>
      <c r="J132" s="12">
        <f>('Статистика акций за год'!J132-'Статистика акций за год'!J133)/'Статистика акций за год'!J133</f>
        <v>1.8204911092294714E-2</v>
      </c>
      <c r="K132" s="12">
        <f>('Статистика акций за год'!K132-'Статистика акций за год'!K133)/'Статистика акций за год'!K133</f>
        <v>-1.5983880498695751E-3</v>
      </c>
      <c r="L132" s="17">
        <v>7.8399999999999997E-2</v>
      </c>
      <c r="M132" s="50">
        <f t="shared" si="1"/>
        <v>2.0681168718050813E-4</v>
      </c>
    </row>
    <row r="133" spans="1:13" x14ac:dyDescent="0.25">
      <c r="A133" s="6">
        <v>45086</v>
      </c>
      <c r="B133" s="12">
        <f>('Статистика акций за год'!B133-'Статистика акций за год'!B134)/'Статистика акций за год'!B134</f>
        <v>1.4690982776089297E-2</v>
      </c>
      <c r="C133" s="12">
        <f>('Статистика акций за год'!C133-'Статистика акций за год'!C134)/'Статистика акций за год'!C134</f>
        <v>-3.6105427849319671E-3</v>
      </c>
      <c r="D133" s="12">
        <f>('Статистика акций за год'!D133-'Статистика акций за год'!D134)/'Статистика акций за год'!D134</f>
        <v>1.26231527093595E-2</v>
      </c>
      <c r="E133" s="12">
        <f>('Статистика акций за год'!E133-'Статистика акций за год'!E134)/'Статистика акций за год'!E134</f>
        <v>1.1677398232020131E-2</v>
      </c>
      <c r="F133" s="12">
        <f>('Статистика акций за год'!F133-'Статистика акций за год'!F134)/'Статистика акций за год'!F134</f>
        <v>-5.6665425817926315E-3</v>
      </c>
      <c r="G133" s="12">
        <f>('Статистика акций за год'!G133-'Статистика акций за год'!G134)/'Статистика акций за год'!G134</f>
        <v>-9.1789903110657822E-3</v>
      </c>
      <c r="H133" s="12">
        <f>('Статистика акций за год'!H133-'Статистика акций за год'!H134)/'Статистика акций за год'!H134</f>
        <v>-1.0542962572482868E-2</v>
      </c>
      <c r="I133" s="12">
        <f>('Статистика акций за год'!I133-'Статистика акций за год'!I134)/'Статистика акций за год'!I134</f>
        <v>-4.7685834502103472E-3</v>
      </c>
      <c r="J133" s="12">
        <f>('Статистика акций за год'!J133-'Статистика акций за год'!J134)/'Статистика акций за год'!J134</f>
        <v>3.185389679337439E-3</v>
      </c>
      <c r="K133" s="12">
        <f>('Статистика акций за год'!K133-'Статистика акций за год'!K134)/'Статистика акций за год'!K134</f>
        <v>-5.4218908844454227E-4</v>
      </c>
      <c r="L133" s="17">
        <v>7.7799999999999994E-2</v>
      </c>
      <c r="M133" s="50">
        <f t="shared" ref="M133:M196" si="2">POWER(L133+1,1/365)-1</f>
        <v>2.0528662051710889E-4</v>
      </c>
    </row>
    <row r="134" spans="1:13" x14ac:dyDescent="0.25">
      <c r="A134" s="6">
        <v>45085</v>
      </c>
      <c r="B134" s="12">
        <f>('Статистика акций за год'!B134-'Статистика акций за год'!B135)/'Статистика акций за год'!B135</f>
        <v>-2.5322866548506244E-4</v>
      </c>
      <c r="C134" s="12">
        <f>('Статистика акций за год'!C134-'Статистика акций за год'!C135)/'Статистика акций за год'!C135</f>
        <v>9.2924385059216588E-3</v>
      </c>
      <c r="D134" s="12">
        <f>('Статистика акций за год'!D134-'Статистика акций за год'!D135)/'Статистика акций за год'!D135</f>
        <v>-5.5113288426209776E-3</v>
      </c>
      <c r="E134" s="12">
        <f>('Статистика акций за год'!E134-'Статистика акций за год'!E135)/'Статистика акций за год'!E135</f>
        <v>-3.6968576709797661E-3</v>
      </c>
      <c r="F134" s="12">
        <f>('Статистика акций за год'!F134-'Статистика акций за год'!F135)/'Статистика акций за год'!F135</f>
        <v>2.1554404145078146E-3</v>
      </c>
      <c r="G134" s="12">
        <f>('Статистика акций за год'!G134-'Статистика акций за год'!G135)/'Статистика акций за год'!G135</f>
        <v>-6.0821084642676132E-3</v>
      </c>
      <c r="H134" s="12">
        <f>('Статистика акций за год'!H134-'Статистика акций за год'!H135)/'Статистика акций за год'!H135</f>
        <v>-5.2687038988420828E-4</v>
      </c>
      <c r="I134" s="12">
        <f>('Статистика акций за год'!I134-'Статистика акций за год'!I135)/'Статистика акций за год'!I135</f>
        <v>8.2013574660632829E-3</v>
      </c>
      <c r="J134" s="12">
        <f>('Статистика акций за год'!J134-'Статистика акций за год'!J135)/'Статистика акций за год'!J135</f>
        <v>4.2489908646693996E-4</v>
      </c>
      <c r="K134" s="12">
        <f>('Статистика акций за год'!K134-'Статистика акций за год'!K135)/'Статистика акций за год'!K135</f>
        <v>-2.9731738630990072E-3</v>
      </c>
      <c r="L134" s="17">
        <v>7.8E-2</v>
      </c>
      <c r="M134" s="50">
        <f t="shared" si="2"/>
        <v>2.0579507012485898E-4</v>
      </c>
    </row>
    <row r="135" spans="1:13" x14ac:dyDescent="0.25">
      <c r="A135" s="6">
        <v>45084</v>
      </c>
      <c r="B135" s="12">
        <f>('Статистика акций за год'!B135-'Статистика акций за год'!B136)/'Статистика акций за год'!B136</f>
        <v>7.3979591836734471E-3</v>
      </c>
      <c r="C135" s="12">
        <f>('Статистика акций за год'!C135-'Статистика акций за год'!C136)/'Статистика акций за год'!C136</f>
        <v>9.1321402304486952E-3</v>
      </c>
      <c r="D135" s="12">
        <f>('Статистика акций за год'!D135-'Статистика акций за год'!D136)/'Статистика акций за год'!D136</f>
        <v>-4.1164811709100959E-3</v>
      </c>
      <c r="E135" s="12">
        <f>('Статистика акций за год'!E135-'Статистика акций за год'!E136)/'Статистика акций за год'!E136</f>
        <v>-4.869075957584938E-3</v>
      </c>
      <c r="F135" s="12">
        <f>('Статистика акций за год'!F135-'Статистика акций за год'!F136)/'Статистика акций за год'!F136</f>
        <v>1.4113154289983954E-3</v>
      </c>
      <c r="G135" s="12">
        <f>('Статистика акций за год'!G135-'Статистика акций за год'!G136)/'Статистика акций за год'!G136</f>
        <v>-4.5408678102926339E-3</v>
      </c>
      <c r="H135" s="12">
        <f>('Статистика акций за год'!H135-'Статистика акций за год'!H136)/'Статистика акций за год'!H136</f>
        <v>5.8293587705353618E-3</v>
      </c>
      <c r="I135" s="12">
        <f>('Статистика акций за год'!I135-'Статистика акций за год'!I136)/'Статистика акций за год'!I136</f>
        <v>-3.6630036630035351E-3</v>
      </c>
      <c r="J135" s="12">
        <f>('Статистика акций за год'!J135-'Статистика акций за год'!J136)/'Статистика акций за год'!J136</f>
        <v>-4.862579281183956E-3</v>
      </c>
      <c r="K135" s="12">
        <f>('Статистика акций за год'!K135-'Статистика акций за год'!K136)/'Статистика акций за год'!K136</f>
        <v>-2.1672542333699358E-3</v>
      </c>
      <c r="L135" s="17">
        <v>7.7799999999999994E-2</v>
      </c>
      <c r="M135" s="50">
        <f t="shared" si="2"/>
        <v>2.0528662051710889E-4</v>
      </c>
    </row>
    <row r="136" spans="1:13" x14ac:dyDescent="0.25">
      <c r="A136" s="6">
        <v>45083</v>
      </c>
      <c r="B136" s="12">
        <f>('Статистика акций за год'!B136-'Статистика акций за год'!B137)/'Статистика акций за год'!B137</f>
        <v>0</v>
      </c>
      <c r="C136" s="12">
        <f>('Статистика акций за год'!C136-'Статистика акций за год'!C137)/'Статистика акций за год'!C137</f>
        <v>4.2469378962269816E-3</v>
      </c>
      <c r="D136" s="12">
        <f>('Статистика акций за год'!D136-'Статистика акций за год'!D137)/'Статистика акций за год'!D137</f>
        <v>-5.0060679611651513E-3</v>
      </c>
      <c r="E136" s="12">
        <f>('Статистика акций за год'!E136-'Статистика акций за год'!E137)/'Статистика акций за год'!E137</f>
        <v>7.6319232446576532E-3</v>
      </c>
      <c r="F136" s="12">
        <f>('Статистика акций за год'!F136-'Статистика акций за год'!F137)/'Статистика акций за год'!F137</f>
        <v>1.5983468286099832E-2</v>
      </c>
      <c r="G136" s="12">
        <f>('Статистика акций за год'!G136-'Статистика акций за год'!G137)/'Статистика акций за год'!G137</f>
        <v>-2.5163563160543532E-3</v>
      </c>
      <c r="H136" s="12">
        <f>('Статистика акций за год'!H136-'Статистика акций за год'!H137)/'Статистика акций за год'!H137</f>
        <v>2.6567481402763019E-3</v>
      </c>
      <c r="I136" s="12">
        <f>('Статистика акций за год'!I136-'Статистика акций за год'!I137)/'Статистика акций за год'!I137</f>
        <v>1.8348623853210368E-3</v>
      </c>
      <c r="J136" s="12">
        <f>('Статистика акций за год'!J136-'Статистика акций за год'!J137)/'Статистика акций за год'!J137</f>
        <v>-4.2105263157894736E-3</v>
      </c>
      <c r="K136" s="12">
        <f>('Статистика акций за год'!K136-'Статистика акций за год'!K137)/'Статистика акций за год'!K137</f>
        <v>-9.7198508160285281E-3</v>
      </c>
      <c r="L136" s="17">
        <v>7.7899999999999997E-2</v>
      </c>
      <c r="M136" s="50">
        <f t="shared" si="2"/>
        <v>2.0554085708113234E-4</v>
      </c>
    </row>
    <row r="137" spans="1:13" x14ac:dyDescent="0.25">
      <c r="A137" s="6">
        <v>45082</v>
      </c>
      <c r="B137" s="12">
        <f>('Статистика акций за год'!B137-'Статистика акций за год'!B138)/'Статистика акций за год'!B138</f>
        <v>-1.9999999999999928E-2</v>
      </c>
      <c r="C137" s="12">
        <f>('Статистика акций за год'!C137-'Статистика акций за год'!C138)/'Статистика акций за год'!C138</f>
        <v>-6.7658998646828413E-4</v>
      </c>
      <c r="D137" s="12">
        <f>('Статистика акций за год'!D137-'Статистика акций за год'!D138)/'Статистика акций за год'!D138</f>
        <v>8.4136454030901021E-3</v>
      </c>
      <c r="E137" s="12">
        <f>('Статистика акций за год'!E137-'Статистика акций за год'!E138)/'Статистика акций за год'!E138</f>
        <v>-7.6261030613349143E-4</v>
      </c>
      <c r="F137" s="12">
        <f>('Статистика акций за год'!F137-'Статистика акций за год'!F138)/'Статистика акций за год'!F138</f>
        <v>-2.7997540479606411E-2</v>
      </c>
      <c r="G137" s="12">
        <f>('Статистика акций за год'!G137-'Статистика акций за год'!G138)/'Статистика акций за год'!G138</f>
        <v>-6.0030015007503752E-3</v>
      </c>
      <c r="H137" s="12">
        <f>('Статистика акций за год'!H137-'Статистика акций за год'!H138)/'Статистика акций за год'!H138</f>
        <v>-1.0515247108307046E-2</v>
      </c>
      <c r="I137" s="12">
        <f>('Статистика акций за год'!I137-'Статистика акций за год'!I138)/'Статистика акций за год'!I138</f>
        <v>3.5410764872521247E-3</v>
      </c>
      <c r="J137" s="12">
        <f>('Статистика акций за год'!J137-'Статистика акций за год'!J138)/'Статистика акций за год'!J138</f>
        <v>2.4369204226870847E-2</v>
      </c>
      <c r="K137" s="12">
        <f>('Статистика акций за год'!K137-'Статистика акций за год'!K138)/'Статистика акций за год'!K138</f>
        <v>-3.0051448841213108E-3</v>
      </c>
      <c r="L137" s="17">
        <v>7.8100000000000003E-2</v>
      </c>
      <c r="M137" s="50">
        <f t="shared" si="2"/>
        <v>2.0604925965206355E-4</v>
      </c>
    </row>
    <row r="138" spans="1:13" x14ac:dyDescent="0.25">
      <c r="A138" s="6">
        <v>45079</v>
      </c>
      <c r="B138" s="12">
        <f>('Статистика акций за год'!B138-'Статистика акций за год'!B139)/'Статистика акций за год'!B139</f>
        <v>1.781170483460567E-2</v>
      </c>
      <c r="C138" s="12">
        <f>('Статистика акций за год'!C138-'Статистика акций за год'!C139)/'Статистика акций за год'!C139</f>
        <v>6.3757350665428723E-3</v>
      </c>
      <c r="D138" s="12">
        <f>('Статистика акций за год'!D138-'Статистика акций за год'!D139)/'Статистика акций за год'!D139</f>
        <v>2.9935402552386952E-2</v>
      </c>
      <c r="E138" s="12">
        <f>('Статистика акций за год'!E138-'Статистика акций за год'!E139)/'Статистика акций за год'!E139</f>
        <v>1.6500553709856012E-2</v>
      </c>
      <c r="F138" s="12">
        <f>('Статистика акций за год'!F138-'Статистика акций за год'!F139)/'Статистика акций за год'!F139</f>
        <v>9.4761234792683606E-3</v>
      </c>
      <c r="G138" s="12">
        <f>('Статистика акций за год'!G138-'Статистика акций за год'!G139)/'Статистика акций за год'!G139</f>
        <v>4.0180813661476649E-3</v>
      </c>
      <c r="H138" s="12">
        <f>('Статистика акций за год'!H138-'Статистика акций за год'!H139)/'Статистика акций за год'!H139</f>
        <v>8.4835630965004998E-3</v>
      </c>
      <c r="I138" s="12">
        <f>('Статистика акций за год'!I138-'Статистика акций за год'!I139)/'Статистика акций за год'!I139</f>
        <v>2.1559832151642276E-2</v>
      </c>
      <c r="J138" s="12">
        <f>('Статистика акций за год'!J138-'Статистика акций за год'!J139)/'Статистика акций за год'!J139</f>
        <v>2.9757939151676609E-2</v>
      </c>
      <c r="K138" s="12">
        <f>('Статистика акций за год'!K138-'Статистика акций за год'!K139)/'Статистика акций за год'!K139</f>
        <v>-9.7561894358173876E-3</v>
      </c>
      <c r="L138" s="17">
        <v>7.8E-2</v>
      </c>
      <c r="M138" s="50">
        <f t="shared" si="2"/>
        <v>2.0579507012485898E-4</v>
      </c>
    </row>
    <row r="139" spans="1:13" x14ac:dyDescent="0.25">
      <c r="A139" s="6">
        <v>45078</v>
      </c>
      <c r="B139" s="12">
        <f>('Статистика акций за год'!B139-'Статистика акций за год'!B140)/'Статистика акций за год'!B140</f>
        <v>-1.897154268597117E-2</v>
      </c>
      <c r="C139" s="12">
        <f>('Статистика акций за год'!C139-'Статистика акций за год'!C140)/'Статистика акций за год'!C140</f>
        <v>-8.530747514422404E-3</v>
      </c>
      <c r="D139" s="12">
        <f>('Статистика акций за год'!D139-'Статистика акций за год'!D140)/'Статистика акций за год'!D140</f>
        <v>7.8839482812992736E-4</v>
      </c>
      <c r="E139" s="12">
        <f>('Статистика акций за год'!E139-'Статистика акций за год'!E140)/'Статистика акций за год'!E140</f>
        <v>3.1104199066873521E-3</v>
      </c>
      <c r="F139" s="12">
        <f>('Статистика акций за год'!F139-'Статистика акций за год'!F140)/'Статистика акций за год'!F140</f>
        <v>-1.8320672705853643E-2</v>
      </c>
      <c r="G139" s="12">
        <f>('Статистика акций за год'!G139-'Статистика акций за год'!G140)/'Статистика акций за год'!G140</f>
        <v>-1.2540757461750689E-3</v>
      </c>
      <c r="H139" s="12">
        <f>('Статистика акций за год'!H139-'Статистика акций за год'!H140)/'Статистика акций за год'!H140</f>
        <v>-8.9332632685234729E-3</v>
      </c>
      <c r="I139" s="12">
        <f>('Статистика акций за год'!I139-'Статистика акций за год'!I140)/'Статистика акций за год'!I140</f>
        <v>-2.8808319280494658E-2</v>
      </c>
      <c r="J139" s="12">
        <f>('Статистика акций за год'!J139-'Статистика акций за год'!J140)/'Статистика акций за год'!J140</f>
        <v>1.6019855595667921E-2</v>
      </c>
      <c r="K139" s="12">
        <f>('Статистика акций за год'!K139-'Статистика акций за год'!K140)/'Статистика акций за год'!K140</f>
        <v>6.1397940137008535E-3</v>
      </c>
      <c r="L139" s="17">
        <v>7.7799999999999994E-2</v>
      </c>
      <c r="M139" s="50">
        <f t="shared" si="2"/>
        <v>2.0528662051710889E-4</v>
      </c>
    </row>
    <row r="140" spans="1:13" x14ac:dyDescent="0.25">
      <c r="A140" s="6">
        <v>45077</v>
      </c>
      <c r="B140" s="12">
        <f>('Статистика акций за год'!B140-'Статистика акций за год'!B141)/'Статистика акций за год'!B141</f>
        <v>3.7584565271863118E-3</v>
      </c>
      <c r="C140" s="12">
        <f>('Статистика акций за год'!C140-'Статистика акций за год'!C141)/'Статистика акций за год'!C141</f>
        <v>6.4237183446571467E-3</v>
      </c>
      <c r="D140" s="12">
        <f>('Статистика акций за год'!D140-'Статистика акций за год'!D141)/'Статистика акций за год'!D141</f>
        <v>1.5792798483891344E-3</v>
      </c>
      <c r="E140" s="12">
        <f>('Статистика акций за год'!E140-'Статистика акций за год'!E141)/'Статистика акций за год'!E141</f>
        <v>3.5903337169160006E-2</v>
      </c>
      <c r="F140" s="12">
        <f>('Статистика акций за год'!F140-'Статистика акций за год'!F141)/'Статистика акций за год'!F141</f>
        <v>6.2129572859185847E-3</v>
      </c>
      <c r="G140" s="12">
        <f>('Статистика акций за год'!G140-'Статистика акций за год'!G141)/'Статистика акций за год'!G141</f>
        <v>1.735136514416943E-2</v>
      </c>
      <c r="H140" s="12">
        <f>('Статистика акций за год'!H140-'Статистика акций за год'!H141)/'Статистика акций за год'!H141</f>
        <v>1.0520778537612681E-3</v>
      </c>
      <c r="I140" s="12">
        <f>('Статистика акций за год'!I140-'Статистика акций за год'!I141)/'Статистика акций за год'!I141</f>
        <v>5.937234944868597E-3</v>
      </c>
      <c r="J140" s="12">
        <f>('Статистика акций за год'!J140-'Статистика акций за год'!J141)/'Статистика акций за год'!J141</f>
        <v>9.7972203235361394E-3</v>
      </c>
      <c r="K140" s="12">
        <f>('Статистика акций за год'!K140-'Статистика акций за год'!K141)/'Статистика акций за год'!K141</f>
        <v>7.4551355479192186E-3</v>
      </c>
      <c r="L140" s="17">
        <v>7.7399999999999997E-2</v>
      </c>
      <c r="M140" s="50">
        <f t="shared" si="2"/>
        <v>2.0426943896745264E-4</v>
      </c>
    </row>
    <row r="141" spans="1:13" x14ac:dyDescent="0.25">
      <c r="A141" s="6">
        <v>45076</v>
      </c>
      <c r="B141" s="12">
        <f>('Статистика акций за год'!B141-'Статистика акций за год'!B142)/'Статистика акций за год'!B142</f>
        <v>-1.529731063409831E-2</v>
      </c>
      <c r="C141" s="12">
        <f>('Статистика акций за год'!C141-'Статистика акций за год'!C142)/'Статистика акций за год'!C142</f>
        <v>-1.0391198044009712E-2</v>
      </c>
      <c r="D141" s="12">
        <f>('Статистика акций за год'!D141-'Статистика акций за год'!D142)/'Статистика акций за год'!D142</f>
        <v>9.4053881715289202E-3</v>
      </c>
      <c r="E141" s="12">
        <f>('Статистика акций за год'!E141-'Статистика акций за год'!E142)/'Статистика акций за год'!E142</f>
        <v>-1.3508911340674284E-2</v>
      </c>
      <c r="F141" s="12">
        <f>('Статистика акций за год'!F141-'Статистика акций за год'!F142)/'Статистика акций за год'!F142</f>
        <v>-2.599729277808743E-2</v>
      </c>
      <c r="G141" s="12">
        <f>('Статистика акций за год'!G141-'Статистика акций за год'!G142)/'Статистика акций за год'!G142</f>
        <v>6.3789359391965256E-2</v>
      </c>
      <c r="H141" s="12">
        <f>('Статистика акций за год'!H141-'Статистика акций за год'!H142)/'Статистика акций за год'!H142</f>
        <v>-6.2728698379509512E-3</v>
      </c>
      <c r="I141" s="12">
        <f>('Статистика акций за год'!I141-'Статистика акций за год'!I142)/'Статистика акций за год'!I142</f>
        <v>-3.1003382187148329E-3</v>
      </c>
      <c r="J141" s="12">
        <f>('Статистика акций за год'!J141-'Статистика акций за год'!J142)/'Статистика акций за год'!J142</f>
        <v>-6.3391442155309296E-3</v>
      </c>
      <c r="K141" s="12">
        <f>('Статистика акций за год'!K141-'Статистика акций за год'!K142)/'Статистика акций за год'!K142</f>
        <v>-1.5580071040613574E-2</v>
      </c>
      <c r="L141" s="17">
        <v>7.7399999999999997E-2</v>
      </c>
      <c r="M141" s="50">
        <f t="shared" si="2"/>
        <v>2.0426943896745264E-4</v>
      </c>
    </row>
    <row r="142" spans="1:13" x14ac:dyDescent="0.25">
      <c r="A142" s="6">
        <v>45075</v>
      </c>
      <c r="B142" s="12">
        <f>('Статистика акций за год'!B142-'Статистика акций за год'!B143)/'Статистика акций за год'!B143</f>
        <v>9.4645080946451458E-3</v>
      </c>
      <c r="C142" s="12">
        <f>('Статистика акций за год'!C142-'Статистика акций за год'!C143)/'Статистика акций за год'!C143</f>
        <v>-5.3501945525291552E-3</v>
      </c>
      <c r="D142" s="12">
        <f>('Статистика акций за год'!D142-'Статистика акций за год'!D143)/'Статистика акций за год'!D143</f>
        <v>1.834415584415577E-2</v>
      </c>
      <c r="E142" s="12">
        <f>('Статистика акций за год'!E142-'Статистика акций за год'!E143)/'Статистика акций за год'!E143</f>
        <v>1.7440517440517469E-2</v>
      </c>
      <c r="F142" s="12">
        <f>('Статистика акций за год'!F142-'Статистика акций за год'!F143)/'Статистика акций за год'!F143</f>
        <v>1.2414349052801341E-2</v>
      </c>
      <c r="G142" s="12">
        <f>('Статистика акций за год'!G142-'Статистика акций за год'!G143)/'Статистика акций за год'!G143</f>
        <v>6.9065583284968077E-2</v>
      </c>
      <c r="H142" s="12">
        <f>('Статистика акций за год'!H142-'Статистика акций за год'!H143)/'Статистика акций за год'!H143</f>
        <v>1.3778484366719782E-2</v>
      </c>
      <c r="I142" s="12">
        <f>('Статистика акций за год'!I142-'Статистика акций за год'!I143)/'Статистика акций за год'!I143</f>
        <v>2.8703972165845273E-2</v>
      </c>
      <c r="J142" s="12">
        <f>('Статистика акций за год'!J142-'Статистика акций за год'!J143)/'Статистика акций за год'!J143</f>
        <v>2.8405122235157135E-2</v>
      </c>
      <c r="K142" s="12">
        <f>('Статистика акций за год'!K142-'Статистика акций за год'!K143)/'Статистика акций за год'!K143</f>
        <v>8.0994287771283067E-3</v>
      </c>
      <c r="L142" s="17">
        <v>7.8E-2</v>
      </c>
      <c r="M142" s="50">
        <f t="shared" si="2"/>
        <v>2.0579507012485898E-4</v>
      </c>
    </row>
    <row r="143" spans="1:13" x14ac:dyDescent="0.25">
      <c r="A143" s="6">
        <v>45072</v>
      </c>
      <c r="B143" s="12">
        <f>('Статистика акций за год'!B143-'Статистика акций за год'!B144)/'Статистика акций за год'!B144</f>
        <v>4.2521260630315584E-3</v>
      </c>
      <c r="C143" s="12">
        <f>('Статистика акций за год'!C143-'Статистика акций за год'!C144)/'Статистика акций за год'!C144</f>
        <v>1.3431916204559323E-2</v>
      </c>
      <c r="D143" s="12">
        <f>('Статистика акций за год'!D143-'Статистика акций за год'!D144)/'Статистика акций за год'!D144</f>
        <v>5.2219321148825812E-3</v>
      </c>
      <c r="E143" s="12">
        <f>('Статистика акций за год'!E143-'Статистика акций за год'!E144)/'Статистика акций за год'!E144</f>
        <v>6.3931186795303969E-3</v>
      </c>
      <c r="F143" s="12">
        <f>('Статистика акций за год'!F143-'Статистика акций за год'!F144)/'Статистика акций за год'!F144</f>
        <v>1.78043977682967E-2</v>
      </c>
      <c r="G143" s="12">
        <f>('Статистика акций за год'!G143-'Статистика акций за год'!G144)/'Статистика акций за год'!G144</f>
        <v>9.9648300117233298E-3</v>
      </c>
      <c r="H143" s="12">
        <f>('Статистика акций за год'!H143-'Статистика акций за год'!H144)/'Статистика акций за год'!H144</f>
        <v>-5.29661016949273E-4</v>
      </c>
      <c r="I143" s="12">
        <f>('Статистика акций за год'!I143-'Статистика акций за год'!I144)/'Статистика акций за год'!I144</f>
        <v>1.7104099085815259E-2</v>
      </c>
      <c r="J143" s="12">
        <f>('Статистика акций за год'!J143-'Статистика акций за год'!J144)/'Статистика акций за год'!J144</f>
        <v>7.2701688555347633E-3</v>
      </c>
      <c r="K143" s="12">
        <f>('Статистика акций за год'!K143-'Статистика акций за год'!K144)/'Статистика акций за год'!K144</f>
        <v>1.4560587421190306E-2</v>
      </c>
      <c r="L143" s="17">
        <v>7.6799999999999993E-2</v>
      </c>
      <c r="M143" s="50">
        <f t="shared" si="2"/>
        <v>2.0274296028421901E-4</v>
      </c>
    </row>
    <row r="144" spans="1:13" x14ac:dyDescent="0.25">
      <c r="A144" s="6">
        <v>45071</v>
      </c>
      <c r="B144" s="12">
        <f>('Статистика акций за год'!B144-'Статистика акций за год'!B145)/'Статистика акций за год'!B145</f>
        <v>1.1895722601872915E-2</v>
      </c>
      <c r="C144" s="12">
        <f>('Статистика акций за год'!C144-'Статистика акций за год'!C145)/'Статистика акций за год'!C145</f>
        <v>-4.0500736377024824E-3</v>
      </c>
      <c r="D144" s="12">
        <f>('Статистика акций за год'!D144-'Статистика акций за год'!D145)/'Статистика акций за год'!D145</f>
        <v>6.531678641410472E-4</v>
      </c>
      <c r="E144" s="12">
        <f>('Статистика акций за год'!E144-'Статистика акций за год'!E145)/'Статистика акций за год'!E145</f>
        <v>-1.3417431192660603E-2</v>
      </c>
      <c r="F144" s="12">
        <f>('Статистика акций за год'!F144-'Статистика акций за год'!F145)/'Статистика акций за год'!F145</f>
        <v>-9.3473136633341926E-3</v>
      </c>
      <c r="G144" s="12">
        <f>('Статистика акций за год'!G144-'Статистика акций за год'!G145)/'Статистика акций за год'!G145</f>
        <v>-1.3302486986697512E-2</v>
      </c>
      <c r="H144" s="12">
        <f>('Статистика акций за год'!H144-'Статистика акций за год'!H145)/'Статистика акций за год'!H145</f>
        <v>3.188097768331683E-3</v>
      </c>
      <c r="I144" s="12">
        <f>('Статистика акций за год'!I144-'Статистика акций за год'!I145)/'Статистика акций за год'!I145</f>
        <v>-4.2578182352077188E-3</v>
      </c>
      <c r="J144" s="12">
        <f>('Статистика акций за год'!J144-'Статистика акций за год'!J145)/'Статистика акций за год'!J145</f>
        <v>-6.9864927806241274E-3</v>
      </c>
      <c r="K144" s="12">
        <f>('Статистика акций за год'!K144-'Статистика акций за год'!K145)/'Статистика акций за год'!K145</f>
        <v>-3.3239139805546505E-3</v>
      </c>
      <c r="L144" s="17">
        <v>7.6399999999999996E-2</v>
      </c>
      <c r="M144" s="50">
        <f t="shared" si="2"/>
        <v>2.0172483651514916E-4</v>
      </c>
    </row>
    <row r="145" spans="1:13" x14ac:dyDescent="0.25">
      <c r="A145" s="6">
        <v>45070</v>
      </c>
      <c r="B145" s="12">
        <f>('Статистика акций за год'!B145-'Статистика акций за год'!B146)/'Статистика акций за год'!B146</f>
        <v>1.0744435917114213E-2</v>
      </c>
      <c r="C145" s="12">
        <f>('Статистика акций за год'!C145-'Статистика акций за год'!C146)/'Статистика акций за год'!C146</f>
        <v>-2.1790023410768924E-2</v>
      </c>
      <c r="D145" s="12">
        <f>('Статистика акций за год'!D145-'Статистика акций за год'!D146)/'Статистика акций за год'!D146</f>
        <v>-2.1182988430830507E-3</v>
      </c>
      <c r="E145" s="12">
        <f>('Статистика акций за год'!E145-'Статистика акций за год'!E146)/'Статистика акций за год'!E146</f>
        <v>2.6365348399246678E-2</v>
      </c>
      <c r="F145" s="12">
        <f>('Статистика акций за год'!F145-'Статистика акций за год'!F146)/'Статистика акций за год'!F146</f>
        <v>4.0730871716787187E-2</v>
      </c>
      <c r="G145" s="12">
        <f>('Статистика акций за год'!G145-'Статистика акций за год'!G146)/'Статистика акций за год'!G146</f>
        <v>4.4397463002114168E-2</v>
      </c>
      <c r="H145" s="12">
        <f>('Статистика акций за год'!H145-'Статистика акций за год'!H146)/'Статистика акций за год'!H146</f>
        <v>-2.1320852834113481E-2</v>
      </c>
      <c r="I145" s="12">
        <f>('Статистика акций за год'!I145-'Статистика акций за год'!I146)/'Статистика акций за год'!I146</f>
        <v>2.2071806945261918E-3</v>
      </c>
      <c r="J145" s="12">
        <f>('Статистика акций за год'!J145-'Статистика акций за год'!J146)/'Статистика акций за год'!J146</f>
        <v>4.9145799204305309E-3</v>
      </c>
      <c r="K145" s="12">
        <f>('Статистика акций за год'!K145-'Статистика акций за год'!K146)/'Статистика акций за год'!K146</f>
        <v>5.7321772639692152E-3</v>
      </c>
      <c r="L145" s="17">
        <v>7.7100000000000002E-2</v>
      </c>
      <c r="M145" s="50">
        <f t="shared" si="2"/>
        <v>2.0350630562560035E-4</v>
      </c>
    </row>
    <row r="146" spans="1:13" x14ac:dyDescent="0.25">
      <c r="A146" s="6">
        <v>45069</v>
      </c>
      <c r="B146" s="12">
        <f>('Статистика акций за год'!B146-'Статистика акций за год'!B147)/'Статистика акций за год'!B147</f>
        <v>-6.607369758576823E-3</v>
      </c>
      <c r="C146" s="12">
        <f>('Статистика акций за год'!C146-'Статистика акций за год'!C147)/'Статистика акций за год'!C147</f>
        <v>-3.4092885719255499E-2</v>
      </c>
      <c r="D146" s="12">
        <f>('Статистика акций за год'!D146-'Статистика акций за год'!D147)/'Статистика акций за год'!D147</f>
        <v>5.0769734687193292E-3</v>
      </c>
      <c r="E146" s="12">
        <f>('Статистика акций за год'!E146-'Статистика акций за год'!E147)/'Статистика акций за год'!E147</f>
        <v>7.0671378091875466E-4</v>
      </c>
      <c r="F146" s="12">
        <f>('Статистика акций за год'!F146-'Статистика акций за год'!F147)/'Статистика акций за год'!F147</f>
        <v>2.3506493506493534E-2</v>
      </c>
      <c r="G146" s="12">
        <f>('Статистика акций за год'!G146-'Статистика акций за год'!G147)/'Статистика акций за год'!G147</f>
        <v>-5.7057057057057058E-3</v>
      </c>
      <c r="H146" s="12">
        <f>('Статистика акций за год'!H146-'Статистика акций за год'!H147)/'Статистика акций за год'!H147</f>
        <v>-5.6876938986556063E-3</v>
      </c>
      <c r="I146" s="12">
        <f>('Статистика акций за год'!I146-'Статистика акций за год'!I147)/'Статистика акций за год'!I147</f>
        <v>-1.6497829232995625E-2</v>
      </c>
      <c r="J146" s="12">
        <f>('Статистика акций за год'!J146-'Статистика акций за год'!J147)/'Статистика акций за год'!J147</f>
        <v>2.5930372148859571E-2</v>
      </c>
      <c r="K146" s="12">
        <f>('Статистика акций за год'!K146-'Статистика акций за год'!K147)/'Статистика акций за год'!K147</f>
        <v>2.1239621548561939E-3</v>
      </c>
      <c r="L146" s="17">
        <v>7.6399999999999996E-2</v>
      </c>
      <c r="M146" s="50">
        <f t="shared" si="2"/>
        <v>2.0172483651514916E-4</v>
      </c>
    </row>
    <row r="147" spans="1:13" x14ac:dyDescent="0.25">
      <c r="A147" s="6">
        <v>45068</v>
      </c>
      <c r="B147" s="12">
        <f>('Статистика акций за год'!B147-'Статистика акций за год'!B148)/'Статистика акций за год'!B148</f>
        <v>1.2088477366255113E-2</v>
      </c>
      <c r="C147" s="12">
        <f>('Статистика акций за год'!C147-'Статистика акций за год'!C148)/'Статистика акций за год'!C148</f>
        <v>-1.1236599208851733E-2</v>
      </c>
      <c r="D147" s="12">
        <f>('Статистика акций за год'!D147-'Статистика акций за год'!D148)/'Статистика акций за год'!D148</f>
        <v>-8.7662337662337293E-3</v>
      </c>
      <c r="E147" s="12">
        <f>('Статистика акций за год'!E147-'Статистика акций за год'!E148)/'Статистика акций за год'!E148</f>
        <v>2.622990450864263E-2</v>
      </c>
      <c r="F147" s="12">
        <f>('Статистика акций за год'!F147-'Статистика акций за год'!F148)/'Статистика акций за год'!F148</f>
        <v>-1.167466597483505E-3</v>
      </c>
      <c r="G147" s="12">
        <f>('Статистика акций за год'!G147-'Статистика акций за год'!G148)/'Статистика акций за год'!G148</f>
        <v>-8.3382966051220968E-3</v>
      </c>
      <c r="H147" s="12">
        <f>('Статистика акций за год'!H147-'Статистика акций за год'!H148)/'Статистика акций за год'!H148</f>
        <v>1.7359284587059504E-2</v>
      </c>
      <c r="I147" s="12">
        <f>('Статистика акций за год'!I147-'Статистика акций за год'!I148)/'Статистика акций за год'!I148</f>
        <v>2.9027576197387518E-3</v>
      </c>
      <c r="J147" s="12">
        <f>('Статистика акций за год'!J147-'Статистика акций за год'!J148)/'Статистика акций за год'!J148</f>
        <v>1.5110894467462804E-2</v>
      </c>
      <c r="K147" s="12">
        <f>('Статистика акций за год'!K147-'Статистика акций за год'!K148)/'Статистика акций за год'!K148</f>
        <v>-7.717538105343957E-4</v>
      </c>
      <c r="L147" s="17">
        <v>7.5700000000000003E-2</v>
      </c>
      <c r="M147" s="50">
        <f t="shared" si="2"/>
        <v>1.9994221168651016E-4</v>
      </c>
    </row>
    <row r="148" spans="1:13" x14ac:dyDescent="0.25">
      <c r="A148" s="6">
        <v>45065</v>
      </c>
      <c r="B148" s="12">
        <f>('Статистика акций за год'!B148-'Статистика акций за год'!B149)/'Статистика акций за год'!B149</f>
        <v>8.5603112840468339E-3</v>
      </c>
      <c r="C148" s="12">
        <f>('Статистика акций за год'!C148-'Статистика акций за год'!C149)/'Статистика акций за год'!C149</f>
        <v>-4.73582106584494E-3</v>
      </c>
      <c r="D148" s="12">
        <f>('Статистика акций за год'!D148-'Статистика акций за год'!D149)/'Статистика акций за год'!D149</f>
        <v>-1.7700526231860983E-2</v>
      </c>
      <c r="E148" s="12">
        <f>('Статистика акций за год'!E148-'Статистика акций за год'!E149)/'Статистика акций за год'!E149</f>
        <v>-1.0866940352572941E-3</v>
      </c>
      <c r="F148" s="12">
        <f>('Статистика акций за год'!F148-'Статистика акций за год'!F149)/'Статистика акций за год'!F149</f>
        <v>-1.8558480794129409E-3</v>
      </c>
      <c r="G148" s="12">
        <f>('Статистика акций за год'!G148-'Статистика акций за год'!G149)/'Статистика акций за год'!G149</f>
        <v>-5.9523809523809529E-4</v>
      </c>
      <c r="H148" s="12">
        <f>('Статистика акций за год'!H148-'Статистика акций за год'!H149)/'Статистика акций за год'!H149</f>
        <v>-1.9597730789066587E-2</v>
      </c>
      <c r="I148" s="12">
        <f>('Статистика акций за год'!I148-'Статистика акций за год'!I149)/'Статистика акций за год'!I149</f>
        <v>-9.9152177036930262E-3</v>
      </c>
      <c r="J148" s="12">
        <f>('Статистика акций за год'!J148-'Статистика акций за год'!J149)/'Статистика акций за год'!J149</f>
        <v>-3.4005343696866101E-3</v>
      </c>
      <c r="K148" s="12">
        <f>('Статистика акций за год'!K148-'Статистика акций за год'!K149)/'Статистика акций за год'!K149</f>
        <v>3.1354029573430454E-3</v>
      </c>
      <c r="L148" s="17">
        <v>7.6300000000000007E-2</v>
      </c>
      <c r="M148" s="50">
        <f t="shared" si="2"/>
        <v>2.0147024661865132E-4</v>
      </c>
    </row>
    <row r="149" spans="1:13" x14ac:dyDescent="0.25">
      <c r="A149" s="6">
        <v>45064</v>
      </c>
      <c r="B149" s="12">
        <f>('Статистика акций за год'!B149-'Статистика акций за год'!B150)/'Статистика акций за год'!B150</f>
        <v>-1.0777521170130915E-2</v>
      </c>
      <c r="C149" s="12">
        <f>('Статистика акций за год'!C149-'Статистика акций за год'!C150)/'Статистика акций за год'!C150</f>
        <v>-5.899035734543508E-3</v>
      </c>
      <c r="D149" s="12">
        <f>('Статистика акций за год'!D149-'Статистика акций за год'!D150)/'Статистика акций за год'!D150</f>
        <v>6.9771409075400845E-2</v>
      </c>
      <c r="E149" s="12">
        <f>('Статистика акций за год'!E149-'Статистика акций за год'!E150)/'Статистика акций за год'!E150</f>
        <v>-1.6875602700096159E-3</v>
      </c>
      <c r="F149" s="12">
        <f>('Статистика акций за год'!F149-'Статистика акций за год'!F150)/'Статистика акций за год'!F150</f>
        <v>4.9880720017348827E-3</v>
      </c>
      <c r="G149" s="12">
        <f>('Статистика акций за год'!G149-'Статистика акций за год'!G150)/'Статистика акций за год'!G150</f>
        <v>0.14363512593601088</v>
      </c>
      <c r="H149" s="12">
        <f>('Статистика акций за год'!H149-'Статистика акций за год'!H150)/'Статистика акций за год'!H150</f>
        <v>-2.0586721564591131E-3</v>
      </c>
      <c r="I149" s="12">
        <f>('Статистика акций за год'!I149-'Статистика акций за год'!I150)/'Статистика акций за год'!I150</f>
        <v>2.2029666617711854E-2</v>
      </c>
      <c r="J149" s="12">
        <f>('Статистика акций за год'!J149-'Статистика акций за год'!J150)/'Статистика акций за год'!J150</f>
        <v>1.5540207202762732E-2</v>
      </c>
      <c r="K149" s="12">
        <f>('Статистика акций за год'!K149-'Статистика акций за год'!K150)/'Статистика акций за год'!K150</f>
        <v>-5.9831855172281382E-3</v>
      </c>
      <c r="L149" s="17">
        <v>7.6700000000000004E-2</v>
      </c>
      <c r="M149" s="50">
        <f t="shared" si="2"/>
        <v>2.0248846470583004E-4</v>
      </c>
    </row>
    <row r="150" spans="1:13" x14ac:dyDescent="0.25">
      <c r="A150" s="6">
        <v>45063</v>
      </c>
      <c r="B150" s="12">
        <f>('Статистика акций за год'!B150-'Статистика акций за год'!B151)/'Статистика акций за год'!B151</f>
        <v>4.3814432989691164E-3</v>
      </c>
      <c r="C150" s="12">
        <f>('Статистика акций за год'!C150-'Статистика акций за год'!C151)/'Статистика акций за год'!C151</f>
        <v>-4.2360914995763907E-3</v>
      </c>
      <c r="D150" s="12">
        <f>('Статистика акций за год'!D150-'Статистика акций за год'!D151)/'Статистика акций за год'!D151</f>
        <v>-2.3825731790333171E-3</v>
      </c>
      <c r="E150" s="12">
        <f>('Статистика акций за год'!E150-'Статистика акций за год'!E151)/'Статистика акций за год'!E151</f>
        <v>9.8600121728545619E-3</v>
      </c>
      <c r="F150" s="12">
        <f>('Статистика акций за год'!F150-'Статистика акций за год'!F151)/'Статистика акций за год'!F151</f>
        <v>-3.0352961581819952E-4</v>
      </c>
      <c r="G150" s="12">
        <f>('Статистика акций за год'!G150-'Статистика акций за год'!G151)/'Статистика акций за год'!G151</f>
        <v>-6.8027210884353737E-4</v>
      </c>
      <c r="H150" s="12">
        <f>('Статистика акций за год'!H150-'Статистика акций за год'!H151)/'Статистика акций за год'!H151</f>
        <v>1.3562858633281287E-2</v>
      </c>
      <c r="I150" s="12">
        <f>('Статистика акций за год'!I150-'Статистика акций за год'!I151)/'Статистика акций за год'!I151</f>
        <v>5.909292362239622E-3</v>
      </c>
      <c r="J150" s="12">
        <f>('Статистика акций за год'!J150-'Статистика акций за год'!J151)/'Статистика акций за год'!J151</f>
        <v>-3.4414945919371536E-3</v>
      </c>
      <c r="K150" s="12">
        <f>('Статистика акций за год'!K150-'Статистика акций за год'!K151)/'Статистика акций за год'!K151</f>
        <v>8.6350758722395539E-3</v>
      </c>
      <c r="L150" s="17">
        <v>7.7200000000000005E-2</v>
      </c>
      <c r="M150" s="50">
        <f t="shared" si="2"/>
        <v>2.0376070695582449E-4</v>
      </c>
    </row>
    <row r="151" spans="1:13" x14ac:dyDescent="0.25">
      <c r="A151" s="6">
        <v>45062</v>
      </c>
      <c r="B151" s="12">
        <f>('Статистика акций за год'!B151-'Статистика акций за год'!B152)/'Статистика акций за год'!B152</f>
        <v>-9.446004595353703E-3</v>
      </c>
      <c r="C151" s="12">
        <f>('Статистика акций за год'!C151-'Статистика акций за год'!C152)/'Статистика акций за год'!C152</f>
        <v>-1.1114834673815799E-2</v>
      </c>
      <c r="D151" s="12">
        <f>('Статистика акций за год'!D151-'Статистика акций за год'!D152)/'Статистика акций за год'!D152</f>
        <v>2.3336816440264675E-2</v>
      </c>
      <c r="E151" s="12">
        <f>('Статистика акций за год'!E151-'Статистика акций за год'!E152)/'Статистика акций за год'!E152</f>
        <v>7.110457275959243E-3</v>
      </c>
      <c r="F151" s="12">
        <f>('Статистика акций за год'!F151-'Статистика акций за год'!F152)/'Статистика акций за год'!F152</f>
        <v>-4.6611998273629008E-3</v>
      </c>
      <c r="G151" s="12">
        <f>('Статистика акций за год'!G151-'Статистика акций за год'!G152)/'Статистика акций за год'!G152</f>
        <v>-9.1001011122345803E-3</v>
      </c>
      <c r="H151" s="12">
        <f>('Статистика акций за год'!H151-'Статистика акций за год'!H152)/'Статистика акций за год'!H152</f>
        <v>-8.7900723888315255E-3</v>
      </c>
      <c r="I151" s="12">
        <f>('Статистика акций за год'!I151-'Статистика акций за год'!I152)/'Статистика акций за год'!I152</f>
        <v>-7.4780058651026729E-3</v>
      </c>
      <c r="J151" s="12">
        <f>('Статистика акций за год'!J151-'Статистика акций за год'!J152)/'Статистика акций за год'!J152</f>
        <v>1.9704433497537226E-3</v>
      </c>
      <c r="K151" s="12">
        <f>('Статистика акций за год'!K151-'Статистика акций за год'!K152)/'Статистика акций за год'!K152</f>
        <v>-6.2190853605623639E-3</v>
      </c>
      <c r="L151" s="17">
        <v>7.6499999999999999E-2</v>
      </c>
      <c r="M151" s="50">
        <f t="shared" si="2"/>
        <v>2.0197940282562499E-4</v>
      </c>
    </row>
    <row r="152" spans="1:13" x14ac:dyDescent="0.25">
      <c r="A152" s="6">
        <v>45061</v>
      </c>
      <c r="B152" s="12">
        <f>('Статистика акций за год'!B152-'Статистика акций за год'!B153)/'Статистика акций за год'!B153</f>
        <v>2.4320083682008359E-2</v>
      </c>
      <c r="C152" s="12">
        <f>('Статистика акций за год'!C152-'Статистика акций за год'!C153)/'Статистика акций за год'!C153</f>
        <v>2.9261281977579785E-2</v>
      </c>
      <c r="D152" s="12">
        <f>('Статистика акций за год'!D152-'Статистика акций за год'!D153)/'Статистика акций за год'!D153</f>
        <v>3.8712011577424189E-2</v>
      </c>
      <c r="E152" s="12">
        <f>('Статистика акций за год'!E152-'Статистика акций за год'!E153)/'Статистика акций за год'!E153</f>
        <v>2.2308559969921128E-2</v>
      </c>
      <c r="F152" s="12">
        <f>('Статистика акций за год'!F152-'Статистика акций за год'!F153)/'Статистика акций за год'!F153</f>
        <v>1.0510706964978833E-2</v>
      </c>
      <c r="G152" s="12">
        <f>('Статистика акций за год'!G152-'Статистика акций за год'!G153)/'Статистика акций за год'!G153</f>
        <v>9.1836734693877559E-3</v>
      </c>
      <c r="H152" s="12">
        <f>('Статистика акций за год'!H152-'Статистика акций за год'!H153)/'Статистика акций за год'!H153</f>
        <v>3.5331905781584551E-2</v>
      </c>
      <c r="I152" s="12">
        <f>('Статистика акций за год'!I152-'Статистика акций за год'!I153)/'Статистика акций за год'!I153</f>
        <v>2.294885255737206E-2</v>
      </c>
      <c r="J152" s="12">
        <f>('Статистика акций за год'!J152-'Статистика акций за год'!J153)/'Статистика акций за год'!J153</f>
        <v>1.3226853007237364E-2</v>
      </c>
      <c r="K152" s="12">
        <f>('Статистика акций за год'!K152-'Статистика акций за год'!K153)/'Статистика акций за год'!K153</f>
        <v>-1.1460821326756947E-3</v>
      </c>
      <c r="L152" s="17">
        <v>7.6100000000000001E-2</v>
      </c>
      <c r="M152" s="50">
        <f t="shared" si="2"/>
        <v>2.0096099604982598E-4</v>
      </c>
    </row>
    <row r="153" spans="1:13" x14ac:dyDescent="0.25">
      <c r="A153" s="6">
        <v>45058</v>
      </c>
      <c r="B153" s="12">
        <f>('Статистика акций за год'!B153-'Статистика акций за год'!B154)/'Статистика акций за год'!B154</f>
        <v>1.7021276595744695E-2</v>
      </c>
      <c r="C153" s="12">
        <f>('Статистика акций за год'!C153-'Статистика акций за год'!C154)/'Статистика акций за год'!C154</f>
        <v>-1.0337104462183819E-3</v>
      </c>
      <c r="D153" s="12">
        <f>('Статистика акций за год'!D153-'Статистика акций за год'!D154)/'Статистика акций за год'!D154</f>
        <v>1.4311926605504503E-2</v>
      </c>
      <c r="E153" s="12">
        <f>('Статистика акций за год'!E153-'Статистика акций за год'!E154)/'Статистика акций за год'!E154</f>
        <v>1.8639091025150035E-2</v>
      </c>
      <c r="F153" s="12">
        <f>('Статистика акций за год'!F153-'Статистика акций за год'!F154)/'Статистика акций за год'!F154</f>
        <v>-1.3082155939299293E-4</v>
      </c>
      <c r="G153" s="12">
        <f>('Статистика акций за год'!G153-'Статистика акций за год'!G154)/'Статистика акций за год'!G154</f>
        <v>3.2665964172813484E-2</v>
      </c>
      <c r="H153" s="12">
        <f>('Статистика акций за год'!H153-'Статистика акций за год'!H154)/'Статистика акций за год'!H154</f>
        <v>7.5512405609493294E-3</v>
      </c>
      <c r="I153" s="12">
        <f>('Статистика акций за год'!I153-'Статистика акций за год'!I154)/'Статистика акций за год'!I154</f>
        <v>-7.7392469117427178E-3</v>
      </c>
      <c r="J153" s="12">
        <f>('Статистика акций за год'!J153-'Статистика акций за год'!J154)/'Статистика акций за год'!J154</f>
        <v>5.0163029847002764E-3</v>
      </c>
      <c r="K153" s="12">
        <f>('Статистика акций за год'!K153-'Статистика акций за год'!K154)/'Статистика акций за год'!K154</f>
        <v>-2.4648681145261902E-2</v>
      </c>
      <c r="L153" s="17">
        <v>7.6200000000000004E-2</v>
      </c>
      <c r="M153" s="50">
        <f t="shared" si="2"/>
        <v>2.0121563313169055E-4</v>
      </c>
    </row>
    <row r="154" spans="1:13" x14ac:dyDescent="0.25">
      <c r="A154" s="6">
        <v>45057</v>
      </c>
      <c r="B154" s="12">
        <f>('Статистика акций за год'!B154-'Статистика акций за год'!B155)/'Статистика акций за год'!B155</f>
        <v>-1.7250392054364783E-2</v>
      </c>
      <c r="C154" s="12">
        <f>('Статистика акций за год'!C154-'Статистика акций за год'!C155)/'Статистика акций за год'!C155</f>
        <v>-7.9758445849712617E-3</v>
      </c>
      <c r="D154" s="12">
        <f>('Статистика акций за год'!D154-'Статистика акций за год'!D155)/'Статистика акций за год'!D155</f>
        <v>-5.5015587749854126E-4</v>
      </c>
      <c r="E154" s="12">
        <f>('Статистика акций за год'!E154-'Статистика акций за год'!E155)/'Статистика акций за год'!E155</f>
        <v>-1.1476664116298022E-3</v>
      </c>
      <c r="F154" s="12">
        <f>('Статистика акций за год'!F154-'Статистика акций за год'!F155)/'Статистика акций за год'!F155</f>
        <v>9.95331630406056E-3</v>
      </c>
      <c r="G154" s="12">
        <f>('Статистика акций за год'!G154-'Статистика акций за год'!G155)/'Статистика акций за год'!G155</f>
        <v>1.8969219756621331E-2</v>
      </c>
      <c r="H154" s="12">
        <f>('Статистика акций за год'!H154-'Статистика акций за год'!H155)/'Статистика акций за год'!H155</f>
        <v>-2.1635883905013163E-2</v>
      </c>
      <c r="I154" s="12">
        <f>('Статистика акций за год'!I154-'Статистика акций за год'!I155)/'Статистика акций за год'!I155</f>
        <v>1.8956627236882014E-2</v>
      </c>
      <c r="J154" s="12">
        <f>('Статистика акций за год'!J154-'Статистика акций за год'!J155)/'Статистика акций за год'!J155</f>
        <v>-9.1948310139164727E-3</v>
      </c>
      <c r="K154" s="12">
        <f>('Статистика акций за год'!K154-'Статистика акций за год'!K155)/'Статистика акций за год'!K155</f>
        <v>1.1516095929459057E-2</v>
      </c>
      <c r="L154" s="17">
        <v>7.5399999999999995E-2</v>
      </c>
      <c r="M154" s="50">
        <f t="shared" si="2"/>
        <v>1.9917787545331578E-4</v>
      </c>
    </row>
    <row r="155" spans="1:13" x14ac:dyDescent="0.25">
      <c r="A155" s="6">
        <v>45056</v>
      </c>
      <c r="B155" s="12">
        <f>('Статистика акций за год'!B155-'Статистика акций за год'!B156)/'Статистика акций за год'!B156</f>
        <v>5.8367911479944662E-2</v>
      </c>
      <c r="C155" s="12">
        <f>('Статистика акций за год'!C155-'Статистика акций за год'!C156)/'Статистика акций за год'!C156</f>
        <v>2.7452587216108625E-2</v>
      </c>
      <c r="D155" s="12">
        <f>('Статистика акций за год'!D155-'Статистика акций за год'!D156)/'Статистика акций за год'!D156</f>
        <v>3.4332321699544588E-2</v>
      </c>
      <c r="E155" s="12">
        <f>('Статистика акций за год'!E155-'Статистика акций за год'!E156)/'Статистика акций за год'!E156</f>
        <v>2.8863815271582261E-2</v>
      </c>
      <c r="F155" s="12">
        <f>('Статистика акций за год'!F155-'Статистика акций за год'!F156)/'Статистика акций за год'!F156</f>
        <v>-4.7047467159105245E-2</v>
      </c>
      <c r="G155" s="12">
        <f>('Статистика акций за год'!G155-'Статистика акций за год'!G156)/'Статистика акций за год'!G156</f>
        <v>3.827573392790784E-2</v>
      </c>
      <c r="H155" s="12">
        <f>('Статистика акций за год'!H155-'Статистика акций за год'!H156)/'Статистика акций за год'!H156</f>
        <v>3.6085292509568039E-2</v>
      </c>
      <c r="I155" s="12">
        <f>('Статистика акций за год'!I155-'Статистика акций за год'!I156)/'Статистика акций за год'!I156</f>
        <v>2.7903351519875257E-2</v>
      </c>
      <c r="J155" s="12">
        <f>('Статистика акций за год'!J155-'Статистика акций за год'!J156)/'Статистика акций за год'!J156</f>
        <v>2.6792549119673388E-2</v>
      </c>
      <c r="K155" s="12">
        <f>('Статистика акций за год'!K155-'Статистика акций за год'!K156)/'Статистика акций за год'!K156</f>
        <v>3.2522638307056963E-2</v>
      </c>
      <c r="L155" s="17">
        <v>7.5899999999999995E-2</v>
      </c>
      <c r="M155" s="50">
        <f t="shared" si="2"/>
        <v>2.0045165108406593E-4</v>
      </c>
    </row>
    <row r="156" spans="1:13" x14ac:dyDescent="0.25">
      <c r="A156" s="6">
        <v>45054</v>
      </c>
      <c r="B156" s="12">
        <f>('Статистика акций за год'!B156-'Статистика акций за год'!B157)/'Статистика акций за год'!B157</f>
        <v>-2.613146551724135E-2</v>
      </c>
      <c r="C156" s="12">
        <f>('Статистика акций за год'!C156-'Статистика акций за год'!C157)/'Статистика акций за год'!C157</f>
        <v>-7.2636411180196404E-3</v>
      </c>
      <c r="D156" s="12">
        <f>('Статистика акций за год'!D156-'Статистика акций за год'!D157)/'Статистика акций за год'!D157</f>
        <v>-9.3949642991356629E-3</v>
      </c>
      <c r="E156" s="12">
        <f>('Статистика акций за год'!E156-'Статистика акций за год'!E157)/'Статистика акций за год'!E157</f>
        <v>6.4703552092963039E-3</v>
      </c>
      <c r="F156" s="12">
        <f>('Статистика акций за год'!F156-'Статистика акций за год'!F157)/'Статистика акций за год'!F157</f>
        <v>2.3979806478755645E-3</v>
      </c>
      <c r="G156" s="12">
        <f>('Статистика акций за год'!G156-'Статистика акций за год'!G157)/'Статистика акций за год'!G157</f>
        <v>-8.4745762711864406E-3</v>
      </c>
      <c r="H156" s="12">
        <f>('Статистика акций за год'!H156-'Статистика акций за год'!H157)/'Статистика акций за год'!H157</f>
        <v>-1.241900647948155E-2</v>
      </c>
      <c r="I156" s="12">
        <f>('Статистика акций за год'!I156-'Статистика акций за год'!I157)/'Статистика акций за год'!I157</f>
        <v>-6.0427641772543813E-3</v>
      </c>
      <c r="J156" s="12">
        <f>('Статистика акций за год'!J156-'Статистика акций за год'!J157)/'Статистика акций за год'!J157</f>
        <v>2.3237597911227096E-2</v>
      </c>
      <c r="K156" s="12">
        <f>('Статистика акций за год'!K156-'Статистика акций за год'!K157)/'Статистика акций за год'!K157</f>
        <v>-1.392113613497417E-2</v>
      </c>
      <c r="L156" s="17">
        <v>7.5300000000000006E-2</v>
      </c>
      <c r="M156" s="50">
        <f t="shared" si="2"/>
        <v>1.9892304945501316E-4</v>
      </c>
    </row>
    <row r="157" spans="1:13" x14ac:dyDescent="0.25">
      <c r="A157" s="6">
        <v>45051</v>
      </c>
      <c r="B157" s="12">
        <f>('Статистика акций за год'!B157-'Статистика акций за год'!B158)/'Статистика акций за год'!B158</f>
        <v>-1.4077025232403749E-2</v>
      </c>
      <c r="C157" s="12">
        <f>('Статистика акций за год'!C157-'Статистика акций за год'!C158)/'Статистика акций за год'!C158</f>
        <v>-9.0406541517908164E-3</v>
      </c>
      <c r="D157" s="12">
        <f>('Статистика акций за год'!D157-'Статистика акций за год'!D158)/'Статистика акций за год'!D158</f>
        <v>-1.0044642857142815E-2</v>
      </c>
      <c r="E157" s="12">
        <f>('Статистика акций за год'!E157-'Статистика акций за год'!E158)/'Статистика акций за год'!E158</f>
        <v>-3.4215028293196775E-3</v>
      </c>
      <c r="F157" s="12">
        <f>('Статистика акций за год'!F157-'Статистика акций за год'!F158)/'Статистика акций за год'!F158</f>
        <v>-4.9813721796642717E-3</v>
      </c>
      <c r="G157" s="12">
        <f>('Статистика акций за год'!G157-'Статистика акций за год'!G158)/'Статистика акций за год'!G158</f>
        <v>3.4693099504384289E-2</v>
      </c>
      <c r="H157" s="12">
        <f>('Статистика акций за год'!H157-'Статистика акций за год'!H158)/'Статистика акций за год'!H158</f>
        <v>-1.5940488841657812E-2</v>
      </c>
      <c r="I157" s="12">
        <f>('Статистика акций за год'!I157-'Статистика акций за год'!I158)/'Статистика акций за год'!I158</f>
        <v>-2.8304727491719462E-2</v>
      </c>
      <c r="J157" s="12">
        <f>('Статистика акций за год'!J157-'Статистика акций за год'!J158)/'Статистика акций за год'!J158</f>
        <v>-1.2886597938144329E-2</v>
      </c>
      <c r="K157" s="12">
        <f>('Статистика акций за год'!K157-'Статистика акций за год'!K158)/'Статистика акций за год'!K158</f>
        <v>1.4685095021203114E-2</v>
      </c>
      <c r="L157" s="17">
        <v>7.3999999999999996E-2</v>
      </c>
      <c r="M157" s="50">
        <f t="shared" si="2"/>
        <v>1.9560815915586893E-4</v>
      </c>
    </row>
    <row r="158" spans="1:13" x14ac:dyDescent="0.25">
      <c r="A158" s="6">
        <v>45050</v>
      </c>
      <c r="B158" s="12">
        <f>('Статистика акций за год'!B158-'Статистика акций за год'!B159)/'Статистика акций за год'!B159</f>
        <v>-9.7317201472910189E-3</v>
      </c>
      <c r="C158" s="12">
        <f>('Статистика акций за год'!C158-'Статистика акций за год'!C159)/'Статистика акций за год'!C159</f>
        <v>4.5699080233701167E-3</v>
      </c>
      <c r="D158" s="12">
        <f>('Статистика акций за год'!D158-'Статистика акций за год'!D159)/'Статистика акций за год'!D159</f>
        <v>1.4148273910582909E-2</v>
      </c>
      <c r="E158" s="12">
        <f>('Статистика акций за год'!E158-'Статистика акций за год'!E159)/'Статистика акций за год'!E159</f>
        <v>5.1587301587301283E-3</v>
      </c>
      <c r="F158" s="12">
        <f>('Статистика акций за год'!F158-'Статистика акций за год'!F159)/'Статистика акций за год'!F159</f>
        <v>1.3233235780633566E-2</v>
      </c>
      <c r="G158" s="12">
        <f>('Статистика акций за год'!G158-'Статистика акций за год'!G159)/'Статистика акций за год'!G159</f>
        <v>1.2741312741312742E-2</v>
      </c>
      <c r="H158" s="12">
        <f>('Статистика акций за год'!H158-'Статистика акций за год'!H159)/'Статистика акций за год'!H159</f>
        <v>2.954048140043751E-2</v>
      </c>
      <c r="I158" s="12">
        <f>('Статистика акций за год'!I158-'Статистика акций за год'!I159)/'Статистика акций за год'!I159</f>
        <v>1.0190114068441133E-2</v>
      </c>
      <c r="J158" s="12">
        <f>('Статистика акций за год'!J158-'Статистика акций за год'!J159)/'Статистика акций за год'!J159</f>
        <v>1.6238868517548424E-2</v>
      </c>
      <c r="K158" s="12">
        <f>('Статистика акций за год'!K158-'Статистика акций за год'!K159)/'Статистика акций за год'!K159</f>
        <v>1.0143878471774651E-2</v>
      </c>
      <c r="L158" s="17">
        <v>7.4999999999999997E-2</v>
      </c>
      <c r="M158" s="50">
        <f t="shared" si="2"/>
        <v>1.9815842963666341E-4</v>
      </c>
    </row>
    <row r="159" spans="1:13" x14ac:dyDescent="0.25">
      <c r="A159" s="6">
        <v>45049</v>
      </c>
      <c r="B159" s="12">
        <f>('Статистика акций за год'!B159-'Статистика акций за год'!B160)/'Статистика акций за год'!B160</f>
        <v>-3.9656478908815358E-2</v>
      </c>
      <c r="C159" s="12">
        <f>('Статистика акций за год'!C159-'Статистика акций за год'!C160)/'Статистика акций за год'!C160</f>
        <v>-2.8656515143001597E-2</v>
      </c>
      <c r="D159" s="12">
        <f>('Статистика акций за год'!D159-'Статистика акций за год'!D160)/'Статистика акций за год'!D160</f>
        <v>-2.0871813816032425E-2</v>
      </c>
      <c r="E159" s="12">
        <f>('Статистика акций за год'!E159-'Статистика акций за год'!E160)/'Статистика акций за год'!E160</f>
        <v>-3.0769230769230771E-2</v>
      </c>
      <c r="F159" s="12">
        <f>('Статистика акций за год'!F159-'Статистика акций за год'!F160)/'Статистика акций за год'!F160</f>
        <v>-2.8233451487923479E-2</v>
      </c>
      <c r="G159" s="12">
        <f>('Статистика акций за год'!G159-'Статистика акций за год'!G160)/'Статистика акций за год'!G160</f>
        <v>-5.4054054054054057E-2</v>
      </c>
      <c r="H159" s="12">
        <f>('Статистика акций за год'!H159-'Статистика акций за год'!H160)/'Статистика акций за год'!H160</f>
        <v>-4.1426324069218548E-2</v>
      </c>
      <c r="I159" s="12">
        <f>('Статистика акций за год'!I159-'Статистика акций за год'!I160)/'Статистика акций за год'!I160</f>
        <v>-1.5423779574722903E-2</v>
      </c>
      <c r="J159" s="12">
        <f>('Статистика акций за год'!J159-'Статистика акций за год'!J160)/'Статистика акций за год'!J160</f>
        <v>-3.8529337698312793E-2</v>
      </c>
      <c r="K159" s="12">
        <f>('Статистика акций за год'!K159-'Статистика акций за год'!K160)/'Статистика акций за год'!K160</f>
        <v>-1.0964331597477566E-2</v>
      </c>
      <c r="L159" s="17">
        <v>7.4999999999999997E-2</v>
      </c>
      <c r="M159" s="50">
        <f t="shared" si="2"/>
        <v>1.9815842963666341E-4</v>
      </c>
    </row>
    <row r="160" spans="1:13" x14ac:dyDescent="0.25">
      <c r="A160" s="6">
        <v>45048</v>
      </c>
      <c r="B160" s="12">
        <f>('Статистика акций за год'!B160-'Статистика акций за год'!B161)/'Статистика акций за год'!B161</f>
        <v>-1.6153081510934357E-2</v>
      </c>
      <c r="C160" s="12">
        <f>('Статистика акций за год'!C160-'Статистика акций за год'!C161)/'Статистика акций за год'!C161</f>
        <v>-1.7446033235797475E-2</v>
      </c>
      <c r="D160" s="12">
        <f>('Статистика акций за год'!D160-'Статистика акций за год'!D161)/'Статистика акций за год'!D161</f>
        <v>-5.3279441484475063E-3</v>
      </c>
      <c r="E160" s="12">
        <f>('Статистика акций за год'!E160-'Статистика акций за год'!E161)/'Статистика акций за год'!E161</f>
        <v>-9.6495683087862143E-3</v>
      </c>
      <c r="F160" s="12">
        <f>('Статистика акций за год'!F160-'Статистика акций за год'!F161)/'Статистика акций за год'!F161</f>
        <v>9.3185789167152394E-3</v>
      </c>
      <c r="G160" s="12">
        <f>('Статистика акций за год'!G160-'Статистика акций за год'!G161)/'Статистика акций за год'!G161</f>
        <v>-2.5622775800711744E-2</v>
      </c>
      <c r="H160" s="12">
        <f>('Статистика акций за год'!H160-'Статистика акций за год'!H161)/'Статистика акций за год'!H161</f>
        <v>-5.1243781094527423E-2</v>
      </c>
      <c r="I160" s="12">
        <f>('Статистика акций за год'!I160-'Статистика акций за год'!I161)/'Статистика акций за год'!I161</f>
        <v>-3.0628538249383108E-2</v>
      </c>
      <c r="J160" s="12">
        <f>('Статистика акций за год'!J160-'Статистика акций за год'!J161)/'Статистика акций за год'!J161</f>
        <v>-1.7079207920792022E-2</v>
      </c>
      <c r="K160" s="12">
        <f>('Статистика акций за год'!K160-'Статистика акций за год'!K161)/'Статистика акций за год'!K161</f>
        <v>-1.3448532755401161E-2</v>
      </c>
      <c r="L160" s="17">
        <v>7.46E-2</v>
      </c>
      <c r="M160" s="50">
        <f t="shared" si="2"/>
        <v>1.971386054602231E-4</v>
      </c>
    </row>
    <row r="161" spans="1:13" x14ac:dyDescent="0.25">
      <c r="A161" s="6">
        <v>45044</v>
      </c>
      <c r="B161" s="12">
        <f>('Статистика акций за год'!B161-'Статистика акций за год'!B162)/'Статистика акций за год'!B162</f>
        <v>4.7440699126093597E-3</v>
      </c>
      <c r="C161" s="12">
        <f>('Статистика акций за год'!C161-'Статистика акций за год'!C162)/'Статистика акций за год'!C162</f>
        <v>-1.5330252786083139E-2</v>
      </c>
      <c r="D161" s="12">
        <f>('Статистика акций за год'!D161-'Статистика акций за год'!D162)/'Статистика акций за год'!D162</f>
        <v>-5.4814544125708024E-3</v>
      </c>
      <c r="E161" s="12">
        <f>('Статистика акций за год'!E161-'Статистика акций за год'!E162)/'Статистика акций за год'!E162</f>
        <v>-1.1173885750156909E-2</v>
      </c>
      <c r="F161" s="12">
        <f>('Статистика акций за год'!F161-'Статистика акций за год'!F162)/'Статистика акций за год'!F162</f>
        <v>0</v>
      </c>
      <c r="G161" s="12">
        <f>('Статистика акций за год'!G161-'Статистика акций за год'!G162)/'Статистика акций за год'!G162</f>
        <v>7.8909612625538018E-3</v>
      </c>
      <c r="H161" s="12">
        <f>('Статистика акций за год'!H161-'Статистика акций за год'!H162)/'Статистика акций за год'!H162</f>
        <v>-1.999024865919061E-2</v>
      </c>
      <c r="I161" s="12">
        <f>('Статистика акций за год'!I161-'Статистика акций за год'!I162)/'Статистика акций за год'!I162</f>
        <v>-6.4897605999423135E-3</v>
      </c>
      <c r="J161" s="12">
        <f>('Статистика акций за год'!J161-'Статистика акций за год'!J162)/'Статистика акций за год'!J162</f>
        <v>-1.8941233608547867E-2</v>
      </c>
      <c r="K161" s="12">
        <f>('Статистика акций за год'!K161-'Статистика акций за год'!K162)/'Статистика акций за год'!K162</f>
        <v>8.9121861700049605E-3</v>
      </c>
      <c r="L161" s="17">
        <v>7.4399999999999994E-2</v>
      </c>
      <c r="M161" s="50">
        <f t="shared" si="2"/>
        <v>1.9662855139923607E-4</v>
      </c>
    </row>
    <row r="162" spans="1:13" x14ac:dyDescent="0.25">
      <c r="A162" s="6">
        <v>45043</v>
      </c>
      <c r="B162" s="12">
        <f>('Статистика акций за год'!B162-'Статистика акций за год'!B163)/'Статистика акций за год'!B163</f>
        <v>2.0382165605095467E-2</v>
      </c>
      <c r="C162" s="12">
        <f>('Статистика акций за год'!C162-'Статистика акций за год'!C163)/'Статистика акций за год'!C163</f>
        <v>3.1225473707814741E-2</v>
      </c>
      <c r="D162" s="12">
        <f>('Статистика акций за год'!D162-'Статистика акций за год'!D163)/'Статистика акций за год'!D163</f>
        <v>2.7482594356907294E-3</v>
      </c>
      <c r="E162" s="12">
        <f>('Статистика акций за год'!E162-'Статистика акций за год'!E163)/'Статистика акций за год'!E163</f>
        <v>6.3171193935565384E-3</v>
      </c>
      <c r="F162" s="12">
        <f>('Статистика акций за год'!F162-'Статистика акций за год'!F163)/'Статистика акций за год'!F163</f>
        <v>2.1980357977977073E-2</v>
      </c>
      <c r="G162" s="12">
        <f>('Статистика акций за год'!G162-'Статистика акций за год'!G163)/'Статистика акций за год'!G163</f>
        <v>1.529497450837582E-2</v>
      </c>
      <c r="H162" s="12">
        <f>('Статистика акций за год'!H162-'Статистика акций за год'!H163)/'Статистика акций за год'!H163</f>
        <v>-1.1089681774349139E-2</v>
      </c>
      <c r="I162" s="12">
        <f>('Статистика акций за год'!I162-'Статистика акций за год'!I163)/'Статистика акций за год'!I163</f>
        <v>-1.3234666287178124E-2</v>
      </c>
      <c r="J162" s="12">
        <f>('Статистика акций за год'!J162-'Статистика акций за год'!J163)/'Статистика акций за год'!J163</f>
        <v>1.0800196367206761E-2</v>
      </c>
      <c r="K162" s="12">
        <f>('Статистика акций за год'!K162-'Статистика акций за год'!K163)/'Статистика акций за год'!K163</f>
        <v>1.3233635985995005E-2</v>
      </c>
      <c r="L162" s="17">
        <v>7.3499999999999996E-2</v>
      </c>
      <c r="M162" s="50">
        <f t="shared" si="2"/>
        <v>1.943321357604777E-4</v>
      </c>
    </row>
    <row r="163" spans="1:13" x14ac:dyDescent="0.25">
      <c r="A163" s="6">
        <v>45042</v>
      </c>
      <c r="B163" s="12">
        <f>('Статистика акций за год'!B163-'Статистика акций за год'!B164)/'Статистика акций за год'!B164</f>
        <v>3.2351394003156148E-2</v>
      </c>
      <c r="C163" s="12">
        <f>('Статистика акций за год'!C163-'Статистика акций за год'!C164)/'Статистика акций за год'!C164</f>
        <v>-3.073827753870292E-3</v>
      </c>
      <c r="D163" s="12">
        <f>('Статистика акций за год'!D163-'Статистика акций за год'!D164)/'Статистика акций за год'!D164</f>
        <v>5.8975304091410463E-3</v>
      </c>
      <c r="E163" s="12">
        <f>('Статистика акций за год'!E163-'Статистика акций за год'!E164)/'Статистика акций за год'!E164</f>
        <v>-1.7656703241265951E-3</v>
      </c>
      <c r="F163" s="12">
        <f>('Статистика акций за год'!F163-'Статистика акций за год'!F164)/'Статистика акций за год'!F164</f>
        <v>-3.8249043773907099E-4</v>
      </c>
      <c r="G163" s="12">
        <f>('Статистика акций за год'!G163-'Статистика акций за год'!G164)/'Статистика акций за год'!G164</f>
        <v>2.6925953627524309E-2</v>
      </c>
      <c r="H163" s="12">
        <f>('Статистика акций за год'!H163-'Статистика акций за год'!H164)/'Статистика акций за год'!H164</f>
        <v>9.2457420924574492E-3</v>
      </c>
      <c r="I163" s="12">
        <f>('Статистика акций за год'!I163-'Статистика акций за год'!I164)/'Статистика акций за год'!I164</f>
        <v>-1.4998598261844593E-2</v>
      </c>
      <c r="J163" s="12">
        <f>('Статистика акций за год'!J163-'Статистика акций за год'!J164)/'Статистика акций за год'!J164</f>
        <v>-3.4246575342466589E-3</v>
      </c>
      <c r="K163" s="12">
        <f>('Статистика акций за год'!K163-'Статистика акций за год'!K164)/'Статистика акций за год'!K164</f>
        <v>-2.7715584838293459E-3</v>
      </c>
      <c r="L163" s="17">
        <v>7.46E-2</v>
      </c>
      <c r="M163" s="50">
        <f t="shared" si="2"/>
        <v>1.971386054602231E-4</v>
      </c>
    </row>
    <row r="164" spans="1:13" x14ac:dyDescent="0.25">
      <c r="A164" s="6">
        <v>45041</v>
      </c>
      <c r="B164" s="12">
        <f>('Статистика акций за год'!B164-'Статистика акций за год'!B165)/'Статистика акций за год'!B165</f>
        <v>-2.2622107969151557E-2</v>
      </c>
      <c r="C164" s="12">
        <f>('Статистика акций за год'!C164-'Статистика акций за год'!C165)/'Статистика акций за год'!C165</f>
        <v>-1.4485569508702332E-2</v>
      </c>
      <c r="D164" s="12">
        <f>('Статистика акций за год'!D164-'Статистика акций за год'!D165)/'Статистика акций за год'!D165</f>
        <v>7.6137418755803576E-3</v>
      </c>
      <c r="E164" s="12">
        <f>('Статистика акций за год'!E164-'Статистика акций за год'!E165)/'Статистика акций за год'!E165</f>
        <v>-9.8651348651348381E-3</v>
      </c>
      <c r="F164" s="12">
        <f>('Статистика акций за год'!F164-'Статистика акций за год'!F165)/'Статистика акций за год'!F165</f>
        <v>8.5070182900900493E-4</v>
      </c>
      <c r="G164" s="12">
        <f>('Статистика акций за год'!G164-'Статистика акций за год'!G165)/'Статистика акций за год'!G165</f>
        <v>1.6343595591030026E-2</v>
      </c>
      <c r="H164" s="12">
        <f>('Статистика акций за год'!H164-'Статистика акций за год'!H165)/'Статистика акций за год'!H165</f>
        <v>-1.9426906265177545E-3</v>
      </c>
      <c r="I164" s="12">
        <f>('Статистика акций за год'!I164-'Статистика акций за год'!I165)/'Статистика акций за год'!I165</f>
        <v>5.2367605841569555E-2</v>
      </c>
      <c r="J164" s="12">
        <f>('Статистика акций за год'!J164-'Статистика акций за год'!J165)/'Статистика акций за год'!J165</f>
        <v>-7.0439640514937509E-3</v>
      </c>
      <c r="K164" s="12">
        <f>('Статистика акций за год'!K164-'Статистика акций за год'!K165)/'Статистика акций за год'!K165</f>
        <v>-6.866624872658874E-3</v>
      </c>
      <c r="L164" s="17">
        <v>7.3599999999999999E-2</v>
      </c>
      <c r="M164" s="50">
        <f t="shared" si="2"/>
        <v>1.9458738784905449E-4</v>
      </c>
    </row>
    <row r="165" spans="1:13" x14ac:dyDescent="0.25">
      <c r="A165" s="6">
        <v>45040</v>
      </c>
      <c r="B165" s="12">
        <f>('Статистика акций за год'!B165-'Статистика акций за год'!B166)/'Статистика акций за год'!B166</f>
        <v>-1.7962535283551524E-3</v>
      </c>
      <c r="C165" s="12">
        <f>('Статистика акций за год'!C165-'Статистика акций за год'!C166)/'Статистика акций за год'!C166</f>
        <v>-8.8047545674662438E-4</v>
      </c>
      <c r="D165" s="12">
        <f>('Статистика акций за год'!D165-'Статистика акций за год'!D166)/'Статистика акций за год'!D166</f>
        <v>1.0698198198198285E-2</v>
      </c>
      <c r="E165" s="12">
        <f>('Статистика акций за год'!E165-'Статистика акций за год'!E166)/'Статистика акций за год'!E166</f>
        <v>4.1379310344827015E-3</v>
      </c>
      <c r="F165" s="12">
        <f>('Статистика акций за год'!F165-'Статистика акций за год'!F166)/'Статистика акций за год'!F166</f>
        <v>-2.9765701407489555E-4</v>
      </c>
      <c r="G165" s="12">
        <f>('Статистика акций за год'!G165-'Статистика акций за год'!G166)/'Статистика акций за год'!G166</f>
        <v>-5.6689342403628117E-3</v>
      </c>
      <c r="H165" s="12">
        <f>('Статистика акций за год'!H165-'Статистика акций за год'!H166)/'Статистика акций за год'!H166</f>
        <v>6.0247167868177229E-2</v>
      </c>
      <c r="I165" s="12">
        <f>('Статистика акций за год'!I165-'Статистика акций за год'!I166)/'Статистика акций за год'!I166</f>
        <v>2.8211739723949681E-2</v>
      </c>
      <c r="J165" s="12">
        <f>('Статистика акций за год'!J165-'Статистика акций за год'!J166)/'Статистика акций за год'!J166</f>
        <v>1.3290671917302429E-2</v>
      </c>
      <c r="K165" s="12">
        <f>('Статистика акций за год'!K165-'Статистика акций за год'!K166)/'Статистика акций за год'!K166</f>
        <v>1.6483516483515991E-3</v>
      </c>
      <c r="L165" s="17">
        <v>7.4099999999999999E-2</v>
      </c>
      <c r="M165" s="50">
        <f t="shared" si="2"/>
        <v>1.9586329274301484E-4</v>
      </c>
    </row>
    <row r="166" spans="1:13" x14ac:dyDescent="0.25">
      <c r="A166" s="6">
        <v>45037</v>
      </c>
      <c r="B166" s="12">
        <f>('Статистика акций за год'!B166-'Статистика акций за год'!B167)/'Статистика акций за год'!B167</f>
        <v>-6.1208875286917113E-3</v>
      </c>
      <c r="C166" s="12">
        <f>('Статистика акций за год'!C166-'Статистика акций за год'!C167)/'Статистика акций за год'!C167</f>
        <v>-1.1004732034780583E-4</v>
      </c>
      <c r="D166" s="12">
        <f>('Статистика акций за год'!D166-'Статистика акций за год'!D167)/'Статистика акций за год'!D167</f>
        <v>-7.2666294019006717E-3</v>
      </c>
      <c r="E166" s="12">
        <f>('Статистика акций за год'!E166-'Статистика акций за год'!E167)/'Статистика акций за год'!E167</f>
        <v>5.6746532156368226E-3</v>
      </c>
      <c r="F166" s="12">
        <f>('Статистика акций за год'!F166-'Статистика акций за год'!F167)/'Статистика акций за год'!F167</f>
        <v>-4.6978161503301741E-3</v>
      </c>
      <c r="G166" s="12">
        <f>('Статистика акций за год'!G166-'Статистика акций за год'!G167)/'Статистика акций за год'!G167</f>
        <v>2.0833333333333332E-2</v>
      </c>
      <c r="H166" s="12">
        <f>('Статистика акций за год'!H166-'Статистика акций за год'!H167)/'Статистика акций за год'!H167</f>
        <v>-1.0288065843622276E-3</v>
      </c>
      <c r="I166" s="12">
        <f>('Статистика акций за год'!I166-'Статистика акций за год'!I167)/'Статистика акций за год'!I167</f>
        <v>0</v>
      </c>
      <c r="J166" s="12">
        <f>('Статистика акций за год'!J166-'Статистика акций за год'!J167)/'Статистика акций за год'!J167</f>
        <v>-2.4551927326295114E-3</v>
      </c>
      <c r="K166" s="12">
        <f>('Статистика акций за год'!K166-'Статистика акций за год'!K167)/'Статистика акций за год'!K167</f>
        <v>5.8904378558808431E-4</v>
      </c>
      <c r="L166" s="17">
        <v>7.3400000000000007E-2</v>
      </c>
      <c r="M166" s="50">
        <f t="shared" si="2"/>
        <v>1.9407685995842527E-4</v>
      </c>
    </row>
    <row r="167" spans="1:13" x14ac:dyDescent="0.25">
      <c r="A167" s="6">
        <v>45036</v>
      </c>
      <c r="B167" s="12">
        <f>('Статистика акций за год'!B167-'Статистика акций за год'!B168)/'Статистика акций за год'!B168</f>
        <v>4.6995994659546007E-2</v>
      </c>
      <c r="C167" s="12">
        <f>('Статистика акций за год'!C167-'Статистика акций за год'!C168)/'Статистика акций за год'!C168</f>
        <v>-1.4834349761001144E-3</v>
      </c>
      <c r="D167" s="12">
        <f>('Статистика акций за год'!D167-'Статистика акций за год'!D168)/'Статистика акций за год'!D168</f>
        <v>6.1867266591677326E-3</v>
      </c>
      <c r="E167" s="12">
        <f>('Статистика акций за год'!E167-'Статистика акций за год'!E168)/'Статистика акций за год'!E168</f>
        <v>1.0098459984851735E-3</v>
      </c>
      <c r="F167" s="12">
        <f>('Статистика акций за год'!F167-'Статистика акций за год'!F168)/'Статистика акций за год'!F168</f>
        <v>1.4294913071474619E-2</v>
      </c>
      <c r="G167" s="12">
        <f>('Статистика акций за год'!G167-'Статистика акций за год'!G168)/'Статистика акций за год'!G168</f>
        <v>3.0206677265500796E-2</v>
      </c>
      <c r="H167" s="12">
        <f>('Статистика акций за год'!H167-'Статистика акций за год'!H168)/'Статистика акций за год'!H168</f>
        <v>4.6511627906977038E-3</v>
      </c>
      <c r="I167" s="12">
        <f>('Статистика акций за год'!I167-'Статистика акций за год'!I168)/'Статистика акций за год'!I168</f>
        <v>9.1088507666602244E-4</v>
      </c>
      <c r="J167" s="12">
        <f>('Статистика акций за год'!J167-'Статистика акций за год'!J168)/'Статистика акций за год'!J168</f>
        <v>2.7497477295661037E-2</v>
      </c>
      <c r="K167" s="12">
        <f>('Статистика акций за год'!K167-'Статистика акций за год'!K168)/'Статистика акций за год'!K168</f>
        <v>1.3945987915467993E-2</v>
      </c>
      <c r="L167" s="17">
        <v>7.3400000000000007E-2</v>
      </c>
      <c r="M167" s="50">
        <f t="shared" si="2"/>
        <v>1.9407685995842527E-4</v>
      </c>
    </row>
    <row r="168" spans="1:13" x14ac:dyDescent="0.25">
      <c r="A168" s="6">
        <v>45035</v>
      </c>
      <c r="B168" s="12">
        <f>('Статистика акций за год'!B168-'Статистика акций за год'!B169)/'Статистика акций за год'!B169</f>
        <v>2.9977997799780071E-2</v>
      </c>
      <c r="C168" s="12">
        <f>('Статистика акций за год'!C168-'Статистика акций за год'!C169)/'Статистика акций за год'!C169</f>
        <v>-1.2907424480720188E-2</v>
      </c>
      <c r="D168" s="12">
        <f>('Статистика акций за год'!D168-'Статистика акций за год'!D169)/'Статистика акций за год'!D169</f>
        <v>4.8982667671439769E-3</v>
      </c>
      <c r="E168" s="12">
        <f>('Статистика акций за год'!E168-'Статистика акций за год'!E169)/'Статистика акций за год'!E169</f>
        <v>-2.2670025188916304E-3</v>
      </c>
      <c r="F168" s="12">
        <f>('Статистика акций за год'!F168-'Статистика акций за год'!F169)/'Статистика акций за год'!F169</f>
        <v>1.2464540531246973E-3</v>
      </c>
      <c r="G168" s="12">
        <f>('Статистика акций за год'!G168-'Статистика акций за год'!G169)/'Статистика акций за год'!G169</f>
        <v>3.5817208727871551E-2</v>
      </c>
      <c r="H168" s="12">
        <f>('Статистика акций за год'!H168-'Статистика акций за год'!H169)/'Статистика акций за год'!H169</f>
        <v>-1.5479876160991298E-3</v>
      </c>
      <c r="I168" s="12">
        <f>('Статистика акций за год'!I168-'Статистика акций за год'!I169)/'Статистика акций за год'!I169</f>
        <v>-2.5741974560871167E-3</v>
      </c>
      <c r="J168" s="12">
        <f>('Статистика акций за год'!J168-'Статистика акций за год'!J169)/'Статистика акций за год'!J169</f>
        <v>-9.495252373813122E-3</v>
      </c>
      <c r="K168" s="12">
        <f>('Статистика акций за год'!K168-'Статистика акций за год'!K169)/'Статистика акций за год'!K169</f>
        <v>-6.2124704462492436E-3</v>
      </c>
      <c r="L168" s="17">
        <v>7.4300000000000005E-2</v>
      </c>
      <c r="M168" s="50">
        <f t="shared" si="2"/>
        <v>1.9637348886036854E-4</v>
      </c>
    </row>
    <row r="169" spans="1:13" x14ac:dyDescent="0.25">
      <c r="A169" s="6">
        <v>45034</v>
      </c>
      <c r="B169" s="12">
        <f>('Статистика акций за год'!B169-'Статистика акций за год'!B170)/'Статистика акций за год'!B170</f>
        <v>2.757859900717083E-3</v>
      </c>
      <c r="C169" s="12">
        <f>('Статистика акций за год'!C169-'Статистика акций за год'!C170)/'Статистика акций за год'!C170</f>
        <v>1.3187537776800798E-2</v>
      </c>
      <c r="D169" s="12">
        <f>('Статистика акций за год'!D169-'Статистика акций за год'!D170)/'Статистика акций за год'!D170</f>
        <v>1.6858237547892632E-2</v>
      </c>
      <c r="E169" s="12">
        <f>('Статистика акций за год'!E169-'Статистика акций за год'!E170)/'Статистика акций за год'!E170</f>
        <v>2.9051408361752615E-3</v>
      </c>
      <c r="F169" s="12">
        <f>('Статистика акций за год'!F169-'Статистика акций за год'!F170)/'Статистика акций за год'!F170</f>
        <v>1.9991231915826402E-2</v>
      </c>
      <c r="G169" s="12">
        <f>('Статистика акций за год'!G169-'Статистика акций за год'!G170)/'Статистика акций за год'!G170</f>
        <v>5.7971014492753624E-3</v>
      </c>
      <c r="H169" s="12">
        <f>('Статистика акций за год'!H169-'Статистика акций за год'!H170)/'Статистика акций за год'!H170</f>
        <v>-1.0309278350514879E-3</v>
      </c>
      <c r="I169" s="12">
        <f>('Статистика акций за год'!I169-'Статистика акций за год'!I170)/'Статистика акций за год'!I170</f>
        <v>3.7999696002431983E-3</v>
      </c>
      <c r="J169" s="12">
        <f>('Статистика акций за год'!J169-'Статистика акций за год'!J170)/'Статистика акций за год'!J170</f>
        <v>2.2539444027046764E-3</v>
      </c>
      <c r="K169" s="12">
        <f>('Статистика акций за год'!K169-'Статистика акций за год'!K170)/'Статистика акций за год'!K170</f>
        <v>6.221257789014752E-3</v>
      </c>
      <c r="L169" s="17">
        <v>7.4099999999999999E-2</v>
      </c>
      <c r="M169" s="50">
        <f t="shared" si="2"/>
        <v>1.9586329274301484E-4</v>
      </c>
    </row>
    <row r="170" spans="1:13" x14ac:dyDescent="0.25">
      <c r="A170" s="6">
        <v>45033</v>
      </c>
      <c r="B170" s="12">
        <f>('Статистика акций за год'!B170-'Статистика акций за год'!B171)/'Статистика акций за год'!B171</f>
        <v>4.6464646464646452E-2</v>
      </c>
      <c r="C170" s="12">
        <f>('Статистика акций за год'!C170-'Статистика акций за год'!C171)/'Статистика акций за год'!C171</f>
        <v>1.3871866295264674E-2</v>
      </c>
      <c r="D170" s="12">
        <f>('Статистика акций за год'!D170-'Статистика акций за год'!D171)/'Статистика акций за год'!D171</f>
        <v>3.6531436262256817E-3</v>
      </c>
      <c r="E170" s="12">
        <f>('Статистика акций за год'!E170-'Статистика акций за год'!E171)/'Статистика акций за год'!E171</f>
        <v>8.7920489296637247E-3</v>
      </c>
      <c r="F170" s="12">
        <f>('Статистика акций за год'!F170-'Статистика акций за год'!F171)/'Статистика акций за год'!F171</f>
        <v>2.8079506017036956E-2</v>
      </c>
      <c r="G170" s="12">
        <f>('Статистика акций за год'!G170-'Статистика акций за год'!G171)/'Статистика акций за год'!G171</f>
        <v>1.3428451531682753E-2</v>
      </c>
      <c r="H170" s="12">
        <f>('Статистика акций за год'!H170-'Статистика акций за год'!H171)/'Статистика акций за год'!H171</f>
        <v>1.0416666666666666E-2</v>
      </c>
      <c r="I170" s="12">
        <f>('Статистика акций за год'!I170-'Статистика акций за год'!I171)/'Статистика акций за год'!I171</f>
        <v>5.0412465627863645E-3</v>
      </c>
      <c r="J170" s="12">
        <f>('Статистика акций за год'!J170-'Статистика акций за год'!J171)/'Статистика акций за год'!J171</f>
        <v>1.2423935091277977E-2</v>
      </c>
      <c r="K170" s="12">
        <f>('Статистика акций за год'!K170-'Статистика акций за год'!K171)/'Статистика акций за год'!K171</f>
        <v>2.205628013917426E-2</v>
      </c>
      <c r="L170" s="17">
        <v>7.4399999999999994E-2</v>
      </c>
      <c r="M170" s="50">
        <f t="shared" si="2"/>
        <v>1.9662855139923607E-4</v>
      </c>
    </row>
    <row r="171" spans="1:13" x14ac:dyDescent="0.25">
      <c r="A171" s="6">
        <v>45030</v>
      </c>
      <c r="B171" s="12">
        <f>('Статистика акций за год'!B171-'Статистика акций за год'!B172)/'Статистика акций за год'!B172</f>
        <v>1.0204081632653104E-2</v>
      </c>
      <c r="C171" s="12">
        <f>('Статистика акций за год'!C171-'Статистика акций за год'!C172)/'Статистика акций за год'!C172</f>
        <v>4.3081743411850851E-3</v>
      </c>
      <c r="D171" s="12">
        <f>('Статистика акций за год'!D171-'Статистика акций за год'!D172)/'Статистика акций за год'!D172</f>
        <v>-1.3440860215052455E-3</v>
      </c>
      <c r="E171" s="12">
        <f>('Статистика акций за год'!E171-'Статистика акций за год'!E172)/'Статистика акций за год'!E172</f>
        <v>5.895924122019878E-3</v>
      </c>
      <c r="F171" s="12">
        <f>('Статистика акций за год'!F171-'Статистика акций за год'!F172)/'Статистика акций за год'!F172</f>
        <v>9.1880827837162171E-3</v>
      </c>
      <c r="G171" s="12">
        <f>('Статистика акций за год'!G171-'Статистика акций за год'!G172)/'Статистика акций за год'!G172</f>
        <v>5.9096665259603205E-3</v>
      </c>
      <c r="H171" s="12">
        <f>('Статистика акций за год'!H171-'Статистика акций за год'!H172)/'Статистика акций за год'!H172</f>
        <v>-5.2056220718372885E-4</v>
      </c>
      <c r="I171" s="12">
        <f>('Статистика акций за год'!I171-'Статистика акций за год'!I172)/'Статистика акций за год'!I172</f>
        <v>-3.0543677458755623E-4</v>
      </c>
      <c r="J171" s="12">
        <f>('Статистика акций за год'!J171-'Статистика акций за год'!J172)/'Статистика акций за год'!J172</f>
        <v>-2.5348542458814379E-4</v>
      </c>
      <c r="K171" s="12">
        <f>('Статистика акций за год'!K171-'Статистика акций за год'!K172)/'Статистика акций за год'!K172</f>
        <v>0</v>
      </c>
      <c r="L171" s="17">
        <v>7.4899999999999994E-2</v>
      </c>
      <c r="M171" s="50">
        <f t="shared" si="2"/>
        <v>1.9790350907467058E-4</v>
      </c>
    </row>
    <row r="172" spans="1:13" x14ac:dyDescent="0.25">
      <c r="A172" s="6">
        <v>45029</v>
      </c>
      <c r="B172" s="12">
        <f>('Статистика акций за год'!B172-'Статистика акций за год'!B173)/'Статистика акций за год'!B173</f>
        <v>-5.5088431429401227E-3</v>
      </c>
      <c r="C172" s="12">
        <f>('Статистика акций за год'!C172-'Статистика акций за год'!C173)/'Статистика акций за год'!C173</f>
        <v>-1.1188811188816912E-4</v>
      </c>
      <c r="D172" s="12">
        <f>('Статистика акций за год'!D172-'Статистика акций за год'!D173)/'Статистика акций за год'!D173</f>
        <v>-3.2535885167464984E-3</v>
      </c>
      <c r="E172" s="12">
        <f>('Статистика акций за год'!E172-'Статистика акций за год'!E173)/'Статистика акций за год'!E173</f>
        <v>-2.0465592223073794E-3</v>
      </c>
      <c r="F172" s="12">
        <f>('Статистика акций за год'!F172-'Статистика акций за год'!F173)/'Статистика акций за год'!F173</f>
        <v>2.873825380895883E-3</v>
      </c>
      <c r="G172" s="12">
        <f>('Статистика акций за год'!G172-'Статистика акций за год'!G173)/'Статистика акций за год'!G173</f>
        <v>1.6913319238900633E-3</v>
      </c>
      <c r="H172" s="12">
        <f>('Статистика акций за год'!H172-'Статистика акций за год'!H173)/'Статистика акций за год'!H173</f>
        <v>-9.2831356369263082E-3</v>
      </c>
      <c r="I172" s="12">
        <f>('Статистика акций за год'!I172-'Статистика акций за год'!I173)/'Статистика акций за год'!I173</f>
        <v>-1.1771808028976861E-2</v>
      </c>
      <c r="J172" s="12">
        <f>('Статистика акций за год'!J172-'Статистика акций за год'!J173)/'Статистика акций за год'!J173</f>
        <v>-2.2761760242791538E-3</v>
      </c>
      <c r="K172" s="12">
        <f>('Статистика акций за год'!K172-'Статистика акций за год'!K173)/'Статистика акций за год'!K173</f>
        <v>7.6681770651795232E-3</v>
      </c>
      <c r="L172" s="17">
        <v>7.4800000000000005E-2</v>
      </c>
      <c r="M172" s="50">
        <f t="shared" si="2"/>
        <v>1.9764856486093052E-4</v>
      </c>
    </row>
    <row r="173" spans="1:13" x14ac:dyDescent="0.25">
      <c r="A173" s="6">
        <v>45028</v>
      </c>
      <c r="B173" s="12">
        <f>('Статистика акций за год'!B173-'Статистика акций за год'!B174)/'Статистика акций за год'!B174</f>
        <v>1.2030516431924992E-2</v>
      </c>
      <c r="C173" s="12">
        <f>('Статистика акций за год'!C173-'Статистика акций за год'!C174)/'Статистика акций за год'!C174</f>
        <v>8.8610452647025235E-3</v>
      </c>
      <c r="D173" s="12">
        <f>('Статистика акций за год'!D173-'Статистика акций за год'!D174)/'Статистика акций за год'!D174</f>
        <v>1.6536964980544747E-2</v>
      </c>
      <c r="E173" s="12">
        <f>('Статистика акций за год'!E173-'Статистика акций за год'!E174)/'Статистика акций за год'!E174</f>
        <v>6.5662417921976421E-3</v>
      </c>
      <c r="F173" s="12">
        <f>('Статистика акций за год'!F173-'Статистика акций за год'!F174)/'Статистика акций за год'!F174</f>
        <v>2.8362305580970017E-3</v>
      </c>
      <c r="G173" s="12">
        <f>('Статистика акций за год'!G173-'Статистика акций за год'!G174)/'Статистика акций за год'!G174</f>
        <v>-4.6296296296296294E-3</v>
      </c>
      <c r="H173" s="12">
        <f>('Статистика акций за год'!H173-'Статистика акций за год'!H174)/'Статистика акций за год'!H174</f>
        <v>7.7962577962577958E-3</v>
      </c>
      <c r="I173" s="12">
        <f>('Статистика акций за год'!I173-'Статистика акций за год'!I174)/'Статистика акций за год'!I174</f>
        <v>-2.1084337349397248E-3</v>
      </c>
      <c r="J173" s="12">
        <f>('Статистика акций за год'!J173-'Статистика акций за год'!J174)/'Статистика акций за год'!J174</f>
        <v>4.0629761300151491E-3</v>
      </c>
      <c r="K173" s="12">
        <f>('Статистика акций за год'!K173-'Статистика акций за год'!K174)/'Статистика акций за год'!K174</f>
        <v>2.1265885205313906E-3</v>
      </c>
      <c r="L173" s="17">
        <v>7.51E-2</v>
      </c>
      <c r="M173" s="50">
        <f t="shared" si="2"/>
        <v>1.9841332655112787E-4</v>
      </c>
    </row>
    <row r="174" spans="1:13" x14ac:dyDescent="0.25">
      <c r="A174" s="6">
        <v>45027</v>
      </c>
      <c r="B174" s="12">
        <f>('Статистика акций за год'!B174-'Статистика акций за год'!B175)/'Статистика акций за год'!B175</f>
        <v>-2.1814006888633899E-2</v>
      </c>
      <c r="C174" s="12">
        <f>('Статистика акций за год'!C174-'Статистика акций за год'!C175)/'Статистика акций за год'!C175</f>
        <v>1.5125472671021056E-2</v>
      </c>
      <c r="D174" s="12">
        <f>('Статистика акций за год'!D174-'Статистика акций за год'!D175)/'Статистика акций за год'!D175</f>
        <v>-8.6788813886210219E-3</v>
      </c>
      <c r="E174" s="12">
        <f>('Статистика акций за год'!E174-'Статистика акций за год'!E175)/'Статистика акций за год'!E175</f>
        <v>-1.3087674714104136E-2</v>
      </c>
      <c r="F174" s="12">
        <f>('Статистика акций за год'!F174-'Статистика акций за год'!F175)/'Статистика акций за год'!F175</f>
        <v>-1.6245893524143889E-2</v>
      </c>
      <c r="G174" s="12">
        <f>('Статистика акций за год'!G174-'Статистика акций за год'!G175)/'Статистика акций за год'!G175</f>
        <v>-1.2058212058212059E-2</v>
      </c>
      <c r="H174" s="12">
        <f>('Статистика акций за год'!H174-'Статистика акций за год'!H175)/'Статистика акций за год'!H175</f>
        <v>-5.6847545219637953E-3</v>
      </c>
      <c r="I174" s="12">
        <f>('Статистика акций за год'!I174-'Статистика акций за год'!I175)/'Статистика акций за год'!I175</f>
        <v>-1.6538866335889682E-3</v>
      </c>
      <c r="J174" s="12">
        <f>('Статистика акций за год'!J174-'Статистика акций за год'!J175)/'Статистика акций за год'!J175</f>
        <v>-2.2343594836146969E-2</v>
      </c>
      <c r="K174" s="12">
        <f>('Статистика акций за год'!K174-'Статистика акций за год'!K175)/'Статистика акций за год'!K175</f>
        <v>-1.0641757973695471E-2</v>
      </c>
      <c r="L174" s="17">
        <v>7.5200000000000003E-2</v>
      </c>
      <c r="M174" s="50">
        <f t="shared" si="2"/>
        <v>1.9866819982228279E-4</v>
      </c>
    </row>
    <row r="175" spans="1:13" x14ac:dyDescent="0.25">
      <c r="A175" s="6">
        <v>45026</v>
      </c>
      <c r="B175" s="12">
        <f>('Статистика акций за год'!B175-'Статистика акций за год'!B176)/'Статистика акций за год'!B176</f>
        <v>6.2519060689234657E-2</v>
      </c>
      <c r="C175" s="12">
        <f>('Статистика акций за год'!C175-'Статистика акций за год'!C176)/'Статистика акций за год'!C176</f>
        <v>8.3771448379455112E-3</v>
      </c>
      <c r="D175" s="12">
        <f>('Статистика акций за год'!D175-'Статистика акций за год'!D176)/'Статистика акций за год'!D176</f>
        <v>6.7961165048543689E-3</v>
      </c>
      <c r="E175" s="12">
        <f>('Статистика акций за год'!E175-'Статистика акций за год'!E176)/'Статистика акций за год'!E176</f>
        <v>4.5953535869288015E-3</v>
      </c>
      <c r="F175" s="12">
        <f>('Статистика акций за год'!F175-'Статистика акций за год'!F176)/'Статистика акций за год'!F176</f>
        <v>2.7465667915106105E-2</v>
      </c>
      <c r="G175" s="12">
        <f>('Статистика акций за год'!G175-'Статистика акций за год'!G176)/'Статистика акций за год'!G176</f>
        <v>8.3229296712442784E-4</v>
      </c>
      <c r="H175" s="12">
        <f>('Статистика акций за год'!H175-'Статистика акций за год'!H176)/'Статистика акций за год'!H176</f>
        <v>2.5437201907790204E-2</v>
      </c>
      <c r="I175" s="12">
        <f>('Статистика акций за год'!I175-'Статистика акций за год'!I176)/'Статистика акций за год'!I176</f>
        <v>9.1033227127901677E-3</v>
      </c>
      <c r="J175" s="12">
        <f>('Статистика акций за год'!J175-'Статистика акций за год'!J176)/'Статистика акций за год'!J176</f>
        <v>1.6658253407370073E-2</v>
      </c>
      <c r="K175" s="12">
        <f>('Статистика акций за год'!K175-'Статистика акций за год'!K176)/'Статистика акций за год'!K176</f>
        <v>9.5842055576078802E-3</v>
      </c>
      <c r="L175" s="17">
        <v>7.6799999999999993E-2</v>
      </c>
      <c r="M175" s="50">
        <f t="shared" si="2"/>
        <v>2.0274296028421901E-4</v>
      </c>
    </row>
    <row r="176" spans="1:13" x14ac:dyDescent="0.25">
      <c r="A176" s="6">
        <v>45023</v>
      </c>
      <c r="B176" s="12">
        <f>('Статистика акций за год'!B176-'Статистика акций за год'!B177)/'Статистика акций за год'!B177</f>
        <v>1.2349490583513386E-2</v>
      </c>
      <c r="C176" s="12">
        <f>('Статистика акций за год'!C176-'Статистика акций за год'!C177)/'Статистика акций за год'!C177</f>
        <v>8.6829836829837356E-3</v>
      </c>
      <c r="D176" s="12">
        <f>('Статистика акций за год'!D176-'Статистика акций за год'!D177)/'Статистика акций за год'!D177</f>
        <v>6.8426197458455523E-3</v>
      </c>
      <c r="E176" s="12">
        <f>('Статистика акций за год'!E176-'Статистика акций за год'!E177)/'Статистика акций за год'!E177</f>
        <v>4.8742945100050724E-3</v>
      </c>
      <c r="F176" s="12">
        <f>('Статистика акций за год'!F176-'Статистика акций за год'!F177)/'Статистика акций за год'!F177</f>
        <v>9.4282380396733274E-3</v>
      </c>
      <c r="G176" s="12">
        <f>('Статистика акций за год'!G176-'Статистика акций за год'!G177)/'Статистика акций за год'!G177</f>
        <v>8.3298625572678054E-4</v>
      </c>
      <c r="H176" s="12">
        <f>('Статистика акций за год'!H176-'Статистика акций за год'!H177)/'Статистика акций за год'!H177</f>
        <v>5.3022269353125305E-4</v>
      </c>
      <c r="I176" s="12">
        <f>('Статистика акций за год'!I176-'Статистика акций за год'!I177)/'Статистика акций за год'!I177</f>
        <v>4.1133455210238352E-3</v>
      </c>
      <c r="J176" s="12">
        <f>('Статистика акций за год'!J176-'Статистика акций за год'!J177)/'Статистика акций за год'!J177</f>
        <v>1.7201540436456966E-2</v>
      </c>
      <c r="K176" s="12">
        <f>('Статистика акций за год'!K176-'Статистика акций за год'!K177)/'Статистика акций за год'!K177</f>
        <v>7.6620032881471274E-3</v>
      </c>
      <c r="L176" s="17">
        <v>7.7299999999999994E-2</v>
      </c>
      <c r="M176" s="50">
        <f t="shared" si="2"/>
        <v>2.0401508473510965E-4</v>
      </c>
    </row>
    <row r="177" spans="1:13" x14ac:dyDescent="0.25">
      <c r="A177" s="6">
        <v>45022</v>
      </c>
      <c r="B177" s="12">
        <f>('Статистика акций за год'!B177-'Статистика акций за год'!B178)/'Статистика акций за год'!B178</f>
        <v>3.7186241090795607E-3</v>
      </c>
      <c r="C177" s="12">
        <f>('Статистика акций за год'!C177-'Статистика акций за год'!C178)/'Статистика акций за год'!C178</f>
        <v>-1.29989646842288E-2</v>
      </c>
      <c r="D177" s="12">
        <f>('Статистика акций за год'!D177-'Статистика акций за год'!D178)/'Статистика акций за год'!D178</f>
        <v>3.1378701706217351E-3</v>
      </c>
      <c r="E177" s="12">
        <f>('Статистика акций за год'!E177-'Статистика акций за год'!E178)/'Статистика акций за год'!E178</f>
        <v>2.5660764690793619E-4</v>
      </c>
      <c r="F177" s="12">
        <f>('Статистика акций за год'!F177-'Статистика акций за год'!F178)/'Статистика акций за год'!F178</f>
        <v>-8.7901919962988934E-3</v>
      </c>
      <c r="G177" s="12">
        <f>('Статистика акций за год'!G177-'Статистика акций за год'!G178)/'Статистика акций за год'!G178</f>
        <v>2.0868113522537562E-3</v>
      </c>
      <c r="H177" s="12">
        <f>('Статистика акций за год'!H177-'Статистика акций за год'!H178)/'Статистика акций за год'!H178</f>
        <v>3.1914893617020976E-3</v>
      </c>
      <c r="I177" s="12">
        <f>('Статистика акций за год'!I177-'Статистика акций за год'!I178)/'Статистика акций за год'!I178</f>
        <v>4.4376434583014192E-3</v>
      </c>
      <c r="J177" s="12">
        <f>('Статистика акций за год'!J177-'Статистика акций за год'!J178)/'Статистика акций за год'!J178</f>
        <v>5.6803511489800888E-3</v>
      </c>
      <c r="K177" s="12">
        <f>('Статистика акций за год'!K177-'Статистика акций за год'!K178)/'Статистика акций за год'!K178</f>
        <v>-2.0658018652975643E-2</v>
      </c>
      <c r="L177" s="17">
        <v>7.7200000000000005E-2</v>
      </c>
      <c r="M177" s="50">
        <f t="shared" si="2"/>
        <v>2.0376070695582449E-4</v>
      </c>
    </row>
    <row r="178" spans="1:13" x14ac:dyDescent="0.25">
      <c r="A178" s="6">
        <v>45021</v>
      </c>
      <c r="B178" s="12">
        <f>('Статистика акций за год'!B178-'Статистика акций за год'!B179)/'Статистика акций за год'!B179</f>
        <v>3.4203980099504522E-3</v>
      </c>
      <c r="C178" s="12">
        <f>('Статистика акций за год'!C178-'Статистика акций за год'!C179)/'Статистика акций за год'!C179</f>
        <v>7.5920023181686594E-3</v>
      </c>
      <c r="D178" s="12">
        <f>('Статистика акций за год'!D178-'Статистика акций за год'!D179)/'Статистика акций за год'!D179</f>
        <v>7.850834151128111E-4</v>
      </c>
      <c r="E178" s="12">
        <f>('Статистика акций за год'!E178-'Статистика акций за год'!E179)/'Статистика акций за год'!E179</f>
        <v>-7.692307692307984E-4</v>
      </c>
      <c r="F178" s="12">
        <f>('Статистика акций за год'!F178-'Статистика акций за год'!F179)/'Статистика акций за год'!F179</f>
        <v>6.1443932411674026E-3</v>
      </c>
      <c r="G178" s="12">
        <f>('Статистика акций за год'!G178-'Статистика акций за год'!G179)/'Статистика акций за год'!G179</f>
        <v>-2.0824656393169513E-3</v>
      </c>
      <c r="H178" s="12">
        <f>('Статистика акций за год'!H178-'Статистика акций за год'!H179)/'Статистика акций за год'!H179</f>
        <v>-1.8276762402088774E-2</v>
      </c>
      <c r="I178" s="12">
        <f>('Статистика акций за год'!I178-'Статистика акций за год'!I179)/'Статистика акций за год'!I179</f>
        <v>7.6569678407350692E-4</v>
      </c>
      <c r="J178" s="12">
        <f>('Статистика акций за год'!J178-'Статистика акций за год'!J179)/'Статистика акций за год'!J179</f>
        <v>1.2019858897308656E-2</v>
      </c>
      <c r="K178" s="12">
        <f>('Статистика акций за год'!K178-'Статистика акций за год'!K179)/'Статистика акций за год'!K179</f>
        <v>4.1181135989261939E-3</v>
      </c>
      <c r="L178" s="17">
        <v>7.7399999999999997E-2</v>
      </c>
      <c r="M178" s="50">
        <f t="shared" si="2"/>
        <v>2.0426943896745264E-4</v>
      </c>
    </row>
    <row r="179" spans="1:13" x14ac:dyDescent="0.25">
      <c r="A179" s="6">
        <v>45020</v>
      </c>
      <c r="B179" s="12">
        <f>('Статистика акций за год'!B179-'Статистика акций за год'!B180)/'Статистика акций за год'!B180</f>
        <v>4.0586949734622369E-3</v>
      </c>
      <c r="C179" s="12">
        <f>('Статистика акций за год'!C179-'Статистика акций за год'!C180)/'Статистика акций за год'!C180</f>
        <v>1.2736236647493931E-2</v>
      </c>
      <c r="D179" s="12">
        <f>('Статистика акций за год'!D179-'Статистика акций за год'!D180)/'Статистика акций за год'!D180</f>
        <v>-1.2596899224806201E-2</v>
      </c>
      <c r="E179" s="12">
        <f>('Статистика акций за год'!E179-'Статистика акций за год'!E180)/'Статистика акций за год'!E180</f>
        <v>-2.3023791250958744E-3</v>
      </c>
      <c r="F179" s="12">
        <f>('Статистика акций за год'!F179-'Статистика акций за год'!F180)/'Статистика акций за год'!F180</f>
        <v>-5.830903790087421E-3</v>
      </c>
      <c r="G179" s="12">
        <f>('Статистика акций за год'!G179-'Статистика акций за год'!G180)/'Статистика акций за год'!G180</f>
        <v>5.0230221850146506E-3</v>
      </c>
      <c r="H179" s="12">
        <f>('Статистика акций за год'!H179-'Статистика акций за год'!H180)/'Статистика акций за год'!H180</f>
        <v>6.3058328954282107E-3</v>
      </c>
      <c r="I179" s="12">
        <f>('Статистика акций за год'!I179-'Статистика акций за год'!I180)/'Статистика акций за год'!I180</f>
        <v>-1.4339622641509434E-2</v>
      </c>
      <c r="J179" s="12">
        <f>('Статистика акций за год'!J179-'Статистика акций за год'!J180)/'Статистика акций за год'!J180</f>
        <v>-1.0599793174767381E-2</v>
      </c>
      <c r="K179" s="12">
        <f>('Статистика акций за год'!K179-'Статистика акций за год'!K180)/'Статистика акций за год'!K180</f>
        <v>-5.4004854368931215E-3</v>
      </c>
      <c r="L179" s="17">
        <v>7.8E-2</v>
      </c>
      <c r="M179" s="50">
        <f t="shared" si="2"/>
        <v>2.0579507012485898E-4</v>
      </c>
    </row>
    <row r="180" spans="1:13" x14ac:dyDescent="0.25">
      <c r="A180" s="6">
        <v>45019</v>
      </c>
      <c r="B180" s="12">
        <f>('Статистика акций за год'!B180-'Статистика акций за год'!B181)/'Статистика акций за год'!B181</f>
        <v>1.2006319115323936E-2</v>
      </c>
      <c r="C180" s="12">
        <f>('Статистика акций за год'!C180-'Статистика акций за год'!C181)/'Статистика акций за год'!C181</f>
        <v>3.2385326502972554E-3</v>
      </c>
      <c r="D180" s="12">
        <f>('Статистика акций за год'!D180-'Статистика акций за год'!D181)/'Статистика акций за год'!D181</f>
        <v>5.8173356602667147E-4</v>
      </c>
      <c r="E180" s="12">
        <f>('Статистика акций за год'!E180-'Статистика акций за год'!E181)/'Статистика акций за год'!E181</f>
        <v>2.6253609871357313E-2</v>
      </c>
      <c r="F180" s="12">
        <f>('Статистика акций за год'!F180-'Статистика акций за год'!F181)/'Статистика акций за год'!F181</f>
        <v>-2.3545706371190717E-3</v>
      </c>
      <c r="G180" s="12">
        <f>('Статистика акций за год'!G180-'Статистика акций за год'!G181)/'Статистика акций за год'!G181</f>
        <v>2.708512467755804E-2</v>
      </c>
      <c r="H180" s="12">
        <f>('Статистика акций за год'!H180-'Статистика акций за год'!H181)/'Статистика акций за год'!H181</f>
        <v>-7.8206465067778928E-3</v>
      </c>
      <c r="I180" s="12">
        <f>('Статистика акций за год'!I180-'Статистика акций за год'!I181)/'Статистика акций за год'!I181</f>
        <v>1.1913853673438146E-2</v>
      </c>
      <c r="J180" s="12">
        <f>('Статистика акций за год'!J180-'Статистика акций за год'!J181)/'Статистика акций за год'!J181</f>
        <v>3.5054856837035117E-2</v>
      </c>
      <c r="K180" s="12">
        <f>('Статистика акций за год'!K180-'Статистика акций за год'!K181)/'Статистика акций за год'!K181</f>
        <v>-7.9858742325133805E-3</v>
      </c>
      <c r="L180" s="17">
        <v>7.7499999999999999E-2</v>
      </c>
      <c r="M180" s="50">
        <f t="shared" si="2"/>
        <v>2.045237696575164E-4</v>
      </c>
    </row>
    <row r="181" spans="1:13" x14ac:dyDescent="0.25">
      <c r="A181" s="6">
        <v>45016</v>
      </c>
      <c r="B181" s="12">
        <f>('Статистика акций за год'!B181-'Статистика акций за год'!B182)/'Статистика акций за год'!B182</f>
        <v>-3.3292608430055083E-2</v>
      </c>
      <c r="C181" s="12">
        <f>('Статистика акций за год'!C181-'Статистика акций за год'!C182)/'Статистика акций за год'!C182</f>
        <v>-1.0948692563042312E-2</v>
      </c>
      <c r="D181" s="12">
        <f>('Статистика акций за год'!D181-'Статистика акций за год'!D182)/'Статистика акций за год'!D182</f>
        <v>-5.5919784033937082E-3</v>
      </c>
      <c r="E181" s="12">
        <f>('Статистика акций за год'!E181-'Статистика акций за год'!E182)/'Статистика акций за год'!E182</f>
        <v>-1.3595752945746472E-2</v>
      </c>
      <c r="F181" s="12">
        <f>('Статистика акций за год'!F181-'Статистика акций за год'!F182)/'Статистика акций за год'!F182</f>
        <v>-1.2449854751695035E-3</v>
      </c>
      <c r="G181" s="12">
        <f>('Статистика акций за год'!G181-'Статистика акций за год'!G182)/'Статистика акций за год'!G182</f>
        <v>4.7516198704103674E-3</v>
      </c>
      <c r="H181" s="12">
        <f>('Статистика акций за год'!H181-'Статистика акций за год'!H182)/'Статистика акций за год'!H182</f>
        <v>-1.7921146953405017E-2</v>
      </c>
      <c r="I181" s="12">
        <f>('Статистика акций за год'!I181-'Статистика акций за год'!I182)/'Статистика акций за год'!I182</f>
        <v>-1.4154494804999213E-2</v>
      </c>
      <c r="J181" s="12">
        <f>('Статистика акций за год'!J181-'Статистика акций за год'!J182)/'Статистика акций за год'!J182</f>
        <v>-3.9978678038379532E-3</v>
      </c>
      <c r="K181" s="12">
        <f>('Статистика акций за год'!K181-'Статистика акций за год'!K182)/'Статистика акций за год'!K182</f>
        <v>-9.6082191508599299E-3</v>
      </c>
      <c r="L181" s="17">
        <v>7.8299999999999995E-2</v>
      </c>
      <c r="M181" s="50">
        <f t="shared" si="2"/>
        <v>2.0655756817555826E-4</v>
      </c>
    </row>
    <row r="182" spans="1:13" x14ac:dyDescent="0.25">
      <c r="A182" s="6">
        <v>45015</v>
      </c>
      <c r="B182" s="12">
        <f>('Статистика акций за год'!B182-'Статистика акций за год'!B183)/'Статистика акций за год'!B183</f>
        <v>1.4564611093895221E-2</v>
      </c>
      <c r="C182" s="12">
        <f>('Статистика акций за год'!C182-'Статистика акций за год'!C183)/'Статистика акций за год'!C183</f>
        <v>4.4457443696988555E-3</v>
      </c>
      <c r="D182" s="12">
        <f>('Статистика акций за год'!D182-'Статистика акций за год'!D183)/'Статистика акций за год'!D183</f>
        <v>5.2335723977515909E-3</v>
      </c>
      <c r="E182" s="12">
        <f>('Статистика акций за год'!E182-'Статистика акций за год'!E183)/'Статистика акций за год'!E183</f>
        <v>1.8160591516409098E-3</v>
      </c>
      <c r="F182" s="12">
        <f>('Статистика акций за год'!F182-'Статистика акций за год'!F183)/'Статистика акций за год'!F183</f>
        <v>-5.1378503601082828E-3</v>
      </c>
      <c r="G182" s="12">
        <f>('Статистика акций за год'!G182-'Статистика акций за год'!G183)/'Статистика акций за год'!G183</f>
        <v>1.3572679509632224E-2</v>
      </c>
      <c r="H182" s="12">
        <f>('Статистика акций за год'!H182-'Статистика акций за год'!H183)/'Статистика акций за год'!H183</f>
        <v>2.465897166841562E-2</v>
      </c>
      <c r="I182" s="12">
        <f>('Статистика акций за год'!I182-'Статистика акций за год'!I183)/'Статистика акций за год'!I183</f>
        <v>6.9749810462471917E-3</v>
      </c>
      <c r="J182" s="12">
        <f>('Статистика акций за год'!J182-'Статистика акций за год'!J183)/'Статистика акций за год'!J183</f>
        <v>2.0119630233822669E-2</v>
      </c>
      <c r="K182" s="12">
        <f>('Статистика акций за год'!K182-'Статистика акций за год'!K183)/'Статистика акций за год'!K183</f>
        <v>1.8615115075256874E-3</v>
      </c>
      <c r="L182" s="17">
        <v>7.8100000000000003E-2</v>
      </c>
      <c r="M182" s="50">
        <f t="shared" si="2"/>
        <v>2.0604925965206355E-4</v>
      </c>
    </row>
    <row r="183" spans="1:13" x14ac:dyDescent="0.25">
      <c r="A183" s="6">
        <v>45014</v>
      </c>
      <c r="B183" s="12">
        <f>('Статистика акций за год'!B183-'Статистика акций за год'!B184)/'Статистика акций за год'!B184</f>
        <v>-2.7812113720641629E-3</v>
      </c>
      <c r="C183" s="12">
        <f>('Статистика акций за год'!C183-'Статистика акций за год'!C184)/'Статистика акций за год'!C184</f>
        <v>-7.0146723563456221E-4</v>
      </c>
      <c r="D183" s="12">
        <f>('Статистика акций за год'!D183-'Статистика акций за год'!D184)/'Статистика акций за год'!D184</f>
        <v>1.3586956521737805E-3</v>
      </c>
      <c r="E183" s="12">
        <f>('Статистика акций за год'!E183-'Статистика акций за год'!E184)/'Статистика акций за год'!E184</f>
        <v>1.0353866317169039E-2</v>
      </c>
      <c r="F183" s="12">
        <f>('Статистика акций за год'!F183-'Статистика акций за год'!F184)/'Статистика акций за год'!F184</f>
        <v>1.8502079147783058E-2</v>
      </c>
      <c r="G183" s="12">
        <f>('Статистика акций за год'!G183-'Статистика акций за год'!G184)/'Статистика акций за год'!G184</f>
        <v>1.1962782454585734E-2</v>
      </c>
      <c r="H183" s="12">
        <f>('Статистика акций за год'!H183-'Статистика акций за год'!H184)/'Статистика акций за год'!H184</f>
        <v>1.3829787234042523E-2</v>
      </c>
      <c r="I183" s="12">
        <f>('Статистика акций за год'!I183-'Статистика акций за год'!I184)/'Статистика акций за год'!I184</f>
        <v>1.6022184563241375E-2</v>
      </c>
      <c r="J183" s="12">
        <f>('Статистика акций за год'!J183-'Статистика акций за год'!J184)/'Статистика акций за год'!J184</f>
        <v>1.9068373740124996E-3</v>
      </c>
      <c r="K183" s="12">
        <f>('Статистика акций за год'!K183-'Статистика акций за год'!K184)/'Статистика акций за год'!K184</f>
        <v>4.7308042367201469E-3</v>
      </c>
      <c r="L183" s="17">
        <v>7.8600000000000003E-2</v>
      </c>
      <c r="M183" s="50">
        <f t="shared" si="2"/>
        <v>2.0731985469812919E-4</v>
      </c>
    </row>
    <row r="184" spans="1:13" x14ac:dyDescent="0.25">
      <c r="A184" s="6">
        <v>45013</v>
      </c>
      <c r="B184" s="12">
        <f>('Статистика акций за год'!B184-'Статистика акций за год'!B185)/'Статистика акций за год'!B185</f>
        <v>-1.7010935601458149E-2</v>
      </c>
      <c r="C184" s="12">
        <f>('Статистика акций за год'!C184-'Статистика акций за год'!C185)/'Статистика акций за год'!C185</f>
        <v>-7.311553414959782E-3</v>
      </c>
      <c r="D184" s="12">
        <f>('Статистика акций за год'!D184-'Статистика акций за год'!D185)/'Статистика акций за год'!D185</f>
        <v>2.9199922133540976E-3</v>
      </c>
      <c r="E184" s="12">
        <f>('Статистика акций за год'!E184-'Статистика акций за год'!E185)/'Статистика акций за год'!E185</f>
        <v>-4.5662100456621002E-3</v>
      </c>
      <c r="F184" s="12">
        <f>('Статистика акций за год'!F184-'Статистика акций за год'!F185)/'Статистика акций за год'!F185</f>
        <v>1.033799093655588E-2</v>
      </c>
      <c r="G184" s="12">
        <f>('Статистика акций за год'!G184-'Статистика акций за год'!G185)/'Статистика акций за год'!G185</f>
        <v>7.5892857142857142E-3</v>
      </c>
      <c r="H184" s="12">
        <f>('Статистика акций за год'!H184-'Статистика акций за год'!H185)/'Статистика акций за год'!H185</f>
        <v>-7.3917634635691952E-3</v>
      </c>
      <c r="I184" s="12">
        <f>('Статистика акций за год'!I184-'Статистика акций за год'!I185)/'Статистика акций за год'!I185</f>
        <v>-1.1873953417567293E-2</v>
      </c>
      <c r="J184" s="12">
        <f>('Статистика акций за год'!J184-'Статистика акций за год'!J185)/'Статистика акций за год'!J185</f>
        <v>1.0181618051733753E-2</v>
      </c>
      <c r="K184" s="12">
        <f>('Статистика акций за год'!K184-'Статистика акций за год'!K185)/'Статистика акций за год'!K185</f>
        <v>-2.1059145258199227E-3</v>
      </c>
      <c r="L184" s="17">
        <v>7.8700000000000006E-2</v>
      </c>
      <c r="M184" s="50">
        <f t="shared" si="2"/>
        <v>2.0757390321946012E-4</v>
      </c>
    </row>
    <row r="185" spans="1:13" x14ac:dyDescent="0.25">
      <c r="A185" s="6">
        <v>45012</v>
      </c>
      <c r="B185" s="12">
        <f>('Статистика акций за год'!B185-'Статистика акций за год'!B186)/'Статистика акций за год'!B186</f>
        <v>0.11178655859506931</v>
      </c>
      <c r="C185" s="12">
        <f>('Статистика акций за год'!C185-'Статистика акций за год'!C186)/'Статистика акций за год'!C186</f>
        <v>1.9523161568952323E-2</v>
      </c>
      <c r="D185" s="12">
        <f>('Статистика акций за год'!D185-'Статистика акций за год'!D186)/'Статистика акций за год'!D186</f>
        <v>1.622156280909999E-2</v>
      </c>
      <c r="E185" s="12">
        <f>('Статистика акций за год'!E185-'Статистика акций за год'!E186)/'Статистика акций за год'!E186</f>
        <v>1.5904572564612324E-2</v>
      </c>
      <c r="F185" s="12">
        <f>('Статистика акций за год'!F185-'Статистика акций за год'!F186)/'Статистика акций за год'!F186</f>
        <v>4.0624846490150857E-2</v>
      </c>
      <c r="G185" s="12">
        <f>('Статистика акций за год'!G185-'Статистика акций за год'!G186)/'Статистика акций за год'!G186</f>
        <v>1.403349932095971E-2</v>
      </c>
      <c r="H185" s="12">
        <f>('Статистика акций за год'!H185-'Статистика акций за год'!H186)/'Статистика акций за год'!H186</f>
        <v>6.225462703309026E-2</v>
      </c>
      <c r="I185" s="12">
        <f>('Статистика акций за год'!I185-'Статистика акций за год'!I186)/'Статистика акций за год'!I186</f>
        <v>2.2730811147438929E-2</v>
      </c>
      <c r="J185" s="12">
        <f>('Статистика акций за год'!J185-'Статистика акций за год'!J186)/'Статистика акций за год'!J186</f>
        <v>4.0366447180074337E-2</v>
      </c>
      <c r="K185" s="12">
        <f>('Статистика акций за год'!K185-'Статистика акций за год'!K186)/'Статистика акций за год'!K186</f>
        <v>2.4740475581692716E-2</v>
      </c>
      <c r="L185" s="17">
        <v>7.9000000000000001E-2</v>
      </c>
      <c r="M185" s="50">
        <f t="shared" si="2"/>
        <v>2.0833590788682521E-4</v>
      </c>
    </row>
    <row r="186" spans="1:13" x14ac:dyDescent="0.25">
      <c r="A186" s="6">
        <v>45009</v>
      </c>
      <c r="B186" s="12">
        <f>('Статистика акций за год'!B186-'Статистика акций за год'!B187)/'Статистика акций за год'!B187</f>
        <v>1.0580204778156953E-2</v>
      </c>
      <c r="C186" s="12">
        <f>('Статистика акций за год'!C186-'Статистика акций за год'!C187)/'Статистика акций за год'!C187</f>
        <v>1.1253257521914104E-3</v>
      </c>
      <c r="D186" s="12">
        <f>('Статистика акций за год'!D186-'Статистика акций за год'!D187)/'Статистика акций за год'!D187</f>
        <v>-6.4858490566037956E-3</v>
      </c>
      <c r="E186" s="12">
        <f>('Статистика акций за год'!E186-'Статистика акций за год'!E187)/'Статистика акций за год'!E187</f>
        <v>7.4776338629990958E-3</v>
      </c>
      <c r="F186" s="12">
        <f>('Статистика акций за год'!F186-'Статистика акций за год'!F187)/'Статистика акций за год'!F187</f>
        <v>4.88695823872041E-3</v>
      </c>
      <c r="G186" s="12">
        <f>('Статистика акций за год'!G186-'Статистика акций за год'!G187)/'Статистика акций за год'!G187</f>
        <v>2.0323325635103928E-2</v>
      </c>
      <c r="H186" s="12">
        <f>('Статистика акций за год'!H186-'Статистика акций за год'!H187)/'Статистика акций за год'!H187</f>
        <v>-2.7964205816554807E-3</v>
      </c>
      <c r="I186" s="12">
        <f>('Статистика акций за год'!I186-'Статистика акций за год'!I187)/'Статистика акций за год'!I187</f>
        <v>-7.2642967542504563E-3</v>
      </c>
      <c r="J186" s="12">
        <f>('Статистика акций за год'!J186-'Статистика акций за год'!J187)/'Статистика акций за год'!J187</f>
        <v>1.3639001741149124E-2</v>
      </c>
      <c r="K186" s="12">
        <f>('Статистика акций за год'!K186-'Статистика акций за год'!K187)/'Статистика акций за год'!K187</f>
        <v>-1.1804776487472536E-2</v>
      </c>
      <c r="L186" s="17">
        <v>7.9299999999999995E-2</v>
      </c>
      <c r="M186" s="50">
        <f t="shared" si="2"/>
        <v>2.0909770129984295E-4</v>
      </c>
    </row>
    <row r="187" spans="1:13" x14ac:dyDescent="0.25">
      <c r="A187" s="6">
        <v>45008</v>
      </c>
      <c r="B187" s="12">
        <f>('Статистика акций за год'!B187-'Статистика акций за год'!B188)/'Статистика акций за год'!B188</f>
        <v>1.243953006219763E-2</v>
      </c>
      <c r="C187" s="12">
        <f>('Статистика акций за год'!C187-'Статистика акций за год'!C188)/'Статистика акций за год'!C188</f>
        <v>7.1123755334284342E-4</v>
      </c>
      <c r="D187" s="12">
        <f>('Статистика акций за год'!D187-'Статистика акций за год'!D188)/'Статистика акций за год'!D188</f>
        <v>0</v>
      </c>
      <c r="E187" s="12">
        <f>('Статистика акций за год'!E187-'Статистика акций за год'!E188)/'Статистика акций за год'!E188</f>
        <v>-2.7962716378162754E-3</v>
      </c>
      <c r="F187" s="12">
        <f>('Статистика акций за год'!F187-'Статистика акций за год'!F188)/'Статистика акций за год'!F188</f>
        <v>-1.5279215338359401E-3</v>
      </c>
      <c r="G187" s="12">
        <f>('Статистика акций за год'!G187-'Статистика акций за год'!G188)/'Статистика акций за год'!G188</f>
        <v>6.0408921933085506E-3</v>
      </c>
      <c r="H187" s="12">
        <f>('Статистика акций за год'!H187-'Статистика акций за год'!H188)/'Статистика акций за год'!H188</f>
        <v>-6.1145080600333197E-3</v>
      </c>
      <c r="I187" s="12">
        <f>('Статистика акций за год'!I187-'Статистика акций за год'!I188)/'Статистика акций за год'!I188</f>
        <v>1.0621680724773437E-2</v>
      </c>
      <c r="J187" s="12">
        <f>('Статистика акций за год'!J187-'Статистика акций за год'!J188)/'Статистика акций за год'!J188</f>
        <v>-1.6552511415524985E-2</v>
      </c>
      <c r="K187" s="12">
        <f>('Статистика акций за год'!K187-'Статистика акций за год'!K188)/'Статистика акций за год'!K188</f>
        <v>9.6018448603089404E-3</v>
      </c>
      <c r="L187" s="17">
        <v>7.9200000000000007E-2</v>
      </c>
      <c r="M187" s="50">
        <f t="shared" si="2"/>
        <v>2.0884379362762218E-4</v>
      </c>
    </row>
    <row r="188" spans="1:13" x14ac:dyDescent="0.25">
      <c r="A188" s="6">
        <v>45007</v>
      </c>
      <c r="B188" s="12">
        <f>('Статистика акций за год'!B188-'Статистика акций за год'!B189)/'Статистика акций за год'!B189</f>
        <v>-1.0598290598290554E-2</v>
      </c>
      <c r="C188" s="12">
        <f>('Статистика акций за год'!C188-'Статистика акций за год'!C189)/'Статистика акций за год'!C189</f>
        <v>-1.0729991204925314E-2</v>
      </c>
      <c r="D188" s="12">
        <f>('Статистика акций за год'!D188-'Статистика акций за год'!D189)/'Статистика акций за год'!D189</f>
        <v>-3.3300685602350413E-3</v>
      </c>
      <c r="E188" s="12">
        <f>('Статистика акций за год'!E188-'Статистика акций за год'!E189)/'Статистика акций за год'!E189</f>
        <v>9.9515868746637669E-3</v>
      </c>
      <c r="F188" s="12">
        <f>('Статистика акций за год'!F188-'Статистика акций за год'!F189)/'Статистика акций за год'!F189</f>
        <v>-2.1148927798544503E-3</v>
      </c>
      <c r="G188" s="12">
        <f>('Статистика акций за год'!G188-'Статистика акций за год'!G189)/'Статистика акций за год'!G189</f>
        <v>3.7313432835820895E-3</v>
      </c>
      <c r="H188" s="12">
        <f>('Статистика акций за год'!H188-'Статистика акций за год'!H189)/'Статистика акций за год'!H189</f>
        <v>0</v>
      </c>
      <c r="I188" s="12">
        <f>('Статистика акций за год'!I188-'Статистика акций за год'!I189)/'Статистика акций за год'!I189</f>
        <v>-2.4929884699281851E-3</v>
      </c>
      <c r="J188" s="12">
        <f>('Статистика акций за год'!J188-'Статистика акций за год'!J189)/'Статистика акций за год'!J189</f>
        <v>-1.1402508551882386E-3</v>
      </c>
      <c r="K188" s="12">
        <f>('Статистика акций за год'!K188-'Статистика акций за год'!K189)/'Статистика акций за год'!K189</f>
        <v>-3.9941053915341874E-3</v>
      </c>
      <c r="L188" s="17">
        <v>7.9100000000000004E-2</v>
      </c>
      <c r="M188" s="50">
        <f t="shared" si="2"/>
        <v>2.0858986249150391E-4</v>
      </c>
    </row>
    <row r="189" spans="1:13" x14ac:dyDescent="0.25">
      <c r="A189" s="6">
        <v>45006</v>
      </c>
      <c r="B189" s="12">
        <f>('Статистика акций за год'!B189-'Статистика акций за год'!B190)/'Статистика акций за год'!B190</f>
        <v>-1.3823331085637226E-2</v>
      </c>
      <c r="C189" s="12">
        <f>('Статистика акций за год'!C189-'Статистика акций за год'!C190)/'Статистика акций за год'!C190</f>
        <v>-2.9311326124074999E-2</v>
      </c>
      <c r="D189" s="12">
        <f>('Статистика акций за год'!D189-'Статистика акций за год'!D190)/'Статистика акций за год'!D190</f>
        <v>1.3701350277998365E-2</v>
      </c>
      <c r="E189" s="12">
        <f>('Статистика акций за год'!E189-'Статистика акций за год'!E190)/'Статистика акций за год'!E190</f>
        <v>-1.483836777954416E-2</v>
      </c>
      <c r="F189" s="12">
        <f>('Статистика акций за год'!F189-'Статистика акций за год'!F190)/'Статистика акций за год'!F190</f>
        <v>-2.012467481470557E-3</v>
      </c>
      <c r="G189" s="12">
        <f>('Статистика акций за год'!G189-'Статистика акций за год'!G190)/'Статистика акций за год'!G190</f>
        <v>-1.9661636945587563E-2</v>
      </c>
      <c r="H189" s="12">
        <f>('Статистика акций за год'!H189-'Статистика акций за год'!H190)/'Статистика акций за год'!H190</f>
        <v>-1.0451045104510481E-2</v>
      </c>
      <c r="I189" s="12">
        <f>('Статистика акций за год'!I189-'Статистика акций за год'!I190)/'Статистика акций за год'!I190</f>
        <v>1.7922283901665274E-2</v>
      </c>
      <c r="J189" s="12">
        <f>('Статистика акций за год'!J189-'Статистика акций за год'!J190)/'Статистика акций за год'!J190</f>
        <v>-1.1830985915492925E-2</v>
      </c>
      <c r="K189" s="12">
        <f>('Статистика акций за год'!K189-'Статистика акций за год'!K190)/'Статистика акций за год'!K190</f>
        <v>4.2048110386495663E-3</v>
      </c>
      <c r="L189" s="17">
        <v>7.8899999999999998E-2</v>
      </c>
      <c r="M189" s="50">
        <f t="shared" si="2"/>
        <v>2.0808192980958928E-4</v>
      </c>
    </row>
    <row r="190" spans="1:13" x14ac:dyDescent="0.25">
      <c r="A190" s="6">
        <v>45005</v>
      </c>
      <c r="B190" s="12">
        <f>('Статистика акций за год'!B190-'Статистика акций за год'!B191)/'Статистика акций за год'!B191</f>
        <v>4.2530755711775073E-2</v>
      </c>
      <c r="C190" s="12">
        <f>('Статистика акций за год'!C190-'Статистика акций за год'!C191)/'Статистика акций за год'!C191</f>
        <v>7.5999755037050629E-2</v>
      </c>
      <c r="D190" s="12">
        <f>('Статистика акций за год'!D190-'Статистика акций за год'!D191)/'Статистика акций за год'!D191</f>
        <v>1.4913341394599022E-2</v>
      </c>
      <c r="E190" s="12">
        <f>('Статистика акций за год'!E190-'Статистика акций за год'!E191)/'Статистика акций за год'!E191</f>
        <v>3.3406352683461087E-2</v>
      </c>
      <c r="F190" s="12">
        <f>('Статистика акций за год'!F190-'Статистика акций за год'!F191)/'Статистика акций за год'!F191</f>
        <v>5.2378738571207117E-2</v>
      </c>
      <c r="G190" s="12">
        <f>('Статистика акций за год'!G190-'Статистика акций за год'!G191)/'Статистика акций за год'!G191</f>
        <v>3.3553875236294897E-2</v>
      </c>
      <c r="H190" s="12">
        <f>('Статистика акций за год'!H190-'Статистика акций за год'!H191)/'Статистика акций за год'!H191</f>
        <v>1.6210173281162692E-2</v>
      </c>
      <c r="I190" s="12">
        <f>('Статистика акций за год'!I190-'Статистика акций за год'!I191)/'Статистика акций за год'!I191</f>
        <v>6.8668157138293742E-3</v>
      </c>
      <c r="J190" s="12">
        <f>('Статистика акций за год'!J190-'Статистика акций за год'!J191)/'Статистика акций за год'!J191</f>
        <v>2.0701552616446201E-2</v>
      </c>
      <c r="K190" s="12">
        <f>('Статистика акций за год'!K190-'Статистика акций за год'!K191)/'Статистика акций за год'!K191</f>
        <v>3.2519468476348054E-2</v>
      </c>
      <c r="L190" s="17">
        <v>7.9000000000000001E-2</v>
      </c>
      <c r="M190" s="50">
        <f t="shared" si="2"/>
        <v>2.0833590788682521E-4</v>
      </c>
    </row>
    <row r="191" spans="1:13" x14ac:dyDescent="0.25">
      <c r="A191" s="6">
        <v>45002</v>
      </c>
      <c r="B191" s="12">
        <f>('Статистика акций за год'!B191-'Статистика акций за год'!B192)/'Статистика акций за год'!B192</f>
        <v>6.7232837933474069E-3</v>
      </c>
      <c r="C191" s="12">
        <f>('Статистика акций за год'!C191-'Статистика акций за год'!C192)/'Статистика акций за год'!C192</f>
        <v>2.2415628326341395E-2</v>
      </c>
      <c r="D191" s="12">
        <f>('Статистика акций за год'!D191-'Статистика акций за год'!D192)/'Статистика акций за год'!D192</f>
        <v>8.0677692617986537E-4</v>
      </c>
      <c r="E191" s="12">
        <f>('Статистика акций за год'!E191-'Статистика акций за год'!E192)/'Статистика акций за год'!E192</f>
        <v>1.670378619153675E-2</v>
      </c>
      <c r="F191" s="12">
        <f>('Статистика акций за год'!F191-'Статистика акций за год'!F192)/'Статистика акций за год'!F192</f>
        <v>0.10339127956682825</v>
      </c>
      <c r="G191" s="12">
        <f>('Статистика акций за год'!G191-'Статистика акций за год'!G192)/'Статистика акций за год'!G192</f>
        <v>1.098901098901099E-2</v>
      </c>
      <c r="H191" s="12">
        <f>('Статистика акций за год'!H191-'Статистика акций за год'!H192)/'Статистика акций за год'!H192</f>
        <v>-5.0055617352614329E-3</v>
      </c>
      <c r="I191" s="12">
        <f>('Статистика акций за год'!I191-'Статистика акций за год'!I192)/'Статистика акций за год'!I192</f>
        <v>1.5733982157339895E-2</v>
      </c>
      <c r="J191" s="12">
        <f>('Статистика акций за год'!J191-'Статистика акций за год'!J192)/'Статистика акций за год'!J192</f>
        <v>3.4195658638120727E-2</v>
      </c>
      <c r="K191" s="12">
        <f>('Статистика акций за год'!K191-'Статистика акций за год'!K192)/'Статистика акций за год'!K192</f>
        <v>2.3368920521945512E-2</v>
      </c>
      <c r="L191" s="17">
        <v>7.7600000000000002E-2</v>
      </c>
      <c r="M191" s="50">
        <f t="shared" si="2"/>
        <v>2.0477807680951976E-4</v>
      </c>
    </row>
    <row r="192" spans="1:13" x14ac:dyDescent="0.25">
      <c r="A192" s="6">
        <v>45001</v>
      </c>
      <c r="B192" s="12">
        <f>('Статистика акций за год'!B192-'Статистика акций за год'!B193)/'Статистика акций за год'!B193</f>
        <v>3.9076376554175131E-3</v>
      </c>
      <c r="C192" s="12">
        <f>('Статистика акций за год'!C192-'Статистика акций за год'!C193)/'Статистика акций за год'!C193</f>
        <v>1.8787575150301311E-4</v>
      </c>
      <c r="D192" s="12">
        <f>('Статистика акций за год'!D192-'Статистика акций за год'!D193)/'Статистика акций за год'!D193</f>
        <v>-8.2016403280655448E-3</v>
      </c>
      <c r="E192" s="12">
        <f>('Статистика акций за год'!E192-'Статистика акций за год'!E193)/'Статистика акций за год'!E193</f>
        <v>3.4921078362899847E-3</v>
      </c>
      <c r="F192" s="12">
        <f>('Статистика акций за год'!F192-'Статистика акций за год'!F193)/'Статистика акций за год'!F193</f>
        <v>8.556759840272519E-4</v>
      </c>
      <c r="G192" s="12">
        <f>('Статистика акций за год'!G192-'Статистика акций за год'!G193)/'Статистика акций за год'!G193</f>
        <v>-7.1157495256166979E-3</v>
      </c>
      <c r="H192" s="12">
        <f>('Статистика акций за год'!H192-'Статистика акций за год'!H193)/'Статистика акций за год'!H193</f>
        <v>-3.8781163434902419E-3</v>
      </c>
      <c r="I192" s="12">
        <f>('Статистика акций за год'!I192-'Статистика акций за год'!I193)/'Статистика акций за год'!I193</f>
        <v>3.0914415880246944E-3</v>
      </c>
      <c r="J192" s="12">
        <f>('Статистика акций за год'!J192-'Статистика акций за год'!J193)/'Статистика акций за год'!J193</f>
        <v>-3.8507109004739669E-3</v>
      </c>
      <c r="K192" s="12">
        <f>('Статистика акций за год'!K192-'Статистика акций за год'!K193)/'Статистика акций за год'!K193</f>
        <v>-1.0299375633705204E-2</v>
      </c>
      <c r="L192" s="17">
        <v>7.7600000000000002E-2</v>
      </c>
      <c r="M192" s="50">
        <f t="shared" si="2"/>
        <v>2.0477807680951976E-4</v>
      </c>
    </row>
    <row r="193" spans="1:13" x14ac:dyDescent="0.25">
      <c r="A193" s="6">
        <v>45000</v>
      </c>
      <c r="B193" s="12">
        <f>('Статистика акций за год'!B193-'Статистика акций за год'!B194)/'Статистика акций за год'!B194</f>
        <v>-3.5398230088496078E-3</v>
      </c>
      <c r="C193" s="12">
        <f>('Статистика акций за год'!C193-'Статистика акций за год'!C194)/'Статистика акций за год'!C194</f>
        <v>-8.1987577639751133E-3</v>
      </c>
      <c r="D193" s="12">
        <f>('Статистика акций за год'!D193-'Статистика акций за год'!D194)/'Статистика акций за год'!D194</f>
        <v>-2.3251270027354502E-2</v>
      </c>
      <c r="E193" s="12">
        <f>('Статистика акций за год'!E193-'Статистика акций за год'!E194)/'Статистика акций за год'!E194</f>
        <v>-1.8104512412563497E-2</v>
      </c>
      <c r="F193" s="12">
        <f>('Статистика акций за год'!F193-'Статистика акций за год'!F194)/'Статистика акций за год'!F194</f>
        <v>-2.3333902452905161E-3</v>
      </c>
      <c r="G193" s="12">
        <f>('Статистика акций за год'!G193-'Статистика акций за год'!G194)/'Статистика акций за год'!G194</f>
        <v>-6.5975494816211122E-3</v>
      </c>
      <c r="H193" s="12">
        <f>('Статистика акций за год'!H193-'Статистика акций за год'!H194)/'Статистика акций за год'!H194</f>
        <v>-1.2041598248494739E-2</v>
      </c>
      <c r="I193" s="12">
        <f>('Статистика акций за год'!I193-'Статистика акций за год'!I194)/'Статистика акций за год'!I194</f>
        <v>-8.2297886073907089E-3</v>
      </c>
      <c r="J193" s="12">
        <f>('Статистика акций за год'!J193-'Статистика акций за год'!J194)/'Статистика акций за год'!J194</f>
        <v>-4.1297935103244169E-3</v>
      </c>
      <c r="K193" s="12">
        <f>('Статистика акций за год'!K193-'Статистика акций за год'!K194)/'Статистика акций за год'!K194</f>
        <v>-2.185033615901778E-2</v>
      </c>
      <c r="L193" s="17">
        <v>7.7299999999999994E-2</v>
      </c>
      <c r="M193" s="50">
        <f t="shared" si="2"/>
        <v>2.0401508473510965E-4</v>
      </c>
    </row>
    <row r="194" spans="1:13" x14ac:dyDescent="0.25">
      <c r="A194" s="6">
        <v>44999</v>
      </c>
      <c r="B194" s="12">
        <f>('Статистика акций за год'!B194-'Статистика акций за год'!B195)/'Статистика акций за год'!B195</f>
        <v>6.0541310541311153E-3</v>
      </c>
      <c r="C194" s="12">
        <f>('Статистика акций за год'!C194-'Статистика акций за год'!C195)/'Статистика акций за год'!C195</f>
        <v>1.2387599823932584E-2</v>
      </c>
      <c r="D194" s="12">
        <f>('Статистика акций за год'!D194-'Статистика акций за год'!D195)/'Статистика акций за год'!D195</f>
        <v>-2.9222676797193516E-3</v>
      </c>
      <c r="E194" s="12">
        <f>('Статистика акций за год'!E194-'Статистика акций за год'!E195)/'Статистика акций за год'!E195</f>
        <v>2.8885832187070465E-3</v>
      </c>
      <c r="F194" s="12">
        <f>('Статистика акций за год'!F194-'Статистика акций за год'!F195)/'Статистика акций за год'!F195</f>
        <v>2.0679639848968936E-2</v>
      </c>
      <c r="G194" s="12">
        <f>('Статистика акций за год'!G194-'Статистика акций за год'!G195)/'Статистика акций за год'!G195</f>
        <v>5.6872037914691941E-3</v>
      </c>
      <c r="H194" s="12">
        <f>('Статистика акций за год'!H194-'Статистика акций за год'!H195)/'Статистика акций за год'!H195</f>
        <v>-1.0934937124112468E-3</v>
      </c>
      <c r="I194" s="12">
        <f>('Статистика акций за год'!I194-'Статистика акций за год'!I195)/'Статистика акций за год'!I195</f>
        <v>2.2642730066312327E-3</v>
      </c>
      <c r="J194" s="12">
        <f>('Статистика акций за год'!J194-'Статистика акций за год'!J195)/'Статистика акций за год'!J195</f>
        <v>1.2847325963549481E-2</v>
      </c>
      <c r="K194" s="12">
        <f>('Статистика акций за год'!K194-'Статистика акций за год'!K195)/'Статистика акций за год'!K195</f>
        <v>4.0670859538784023E-3</v>
      </c>
      <c r="L194" s="17">
        <v>7.8100000000000003E-2</v>
      </c>
      <c r="M194" s="50">
        <f t="shared" si="2"/>
        <v>2.0604925965206355E-4</v>
      </c>
    </row>
    <row r="195" spans="1:13" x14ac:dyDescent="0.25">
      <c r="A195" s="6">
        <v>44998</v>
      </c>
      <c r="B195" s="12">
        <f>('Статистика акций за год'!B195-'Статистика акций за год'!B196)/'Статистика акций за год'!B196</f>
        <v>-6.7209055535904236E-3</v>
      </c>
      <c r="C195" s="12">
        <f>('Статистика акций за год'!C195-'Статистика акций за год'!C196)/'Статистика акций за год'!C196</f>
        <v>-6.3109222694325857E-3</v>
      </c>
      <c r="D195" s="12">
        <f>('Статистика акций за год'!D195-'Статистика акций за год'!D196)/'Статистика акций за год'!D196</f>
        <v>-4.0745052386496365E-3</v>
      </c>
      <c r="E195" s="12">
        <f>('Статистика акций за год'!E195-'Статистика акций за год'!E196)/'Статистика акций за год'!E196</f>
        <v>-6.5591691719048299E-3</v>
      </c>
      <c r="F195" s="12">
        <f>('Статистика акций за год'!F195-'Статистика акций за год'!F196)/'Статистика акций за год'!F196</f>
        <v>-2.202515504549907E-3</v>
      </c>
      <c r="G195" s="12">
        <f>('Статистика акций за год'!G195-'Статистика акций за год'!G196)/'Статистика акций за год'!G196</f>
        <v>2.3278370514064017E-2</v>
      </c>
      <c r="H195" s="12">
        <f>('Статистика акций за год'!H195-'Статистика акций за год'!H196)/'Статистика акций за год'!H196</f>
        <v>6.0506050605060192E-3</v>
      </c>
      <c r="I195" s="12">
        <f>('Статистика акций за год'!I195-'Статистика акций за год'!I196)/'Статистика акций за год'!I196</f>
        <v>-4.3478260869565947E-3</v>
      </c>
      <c r="J195" s="12">
        <f>('Статистика акций за год'!J195-'Статистика акций за год'!J196)/'Статистика акций за год'!J196</f>
        <v>4.2004200420041318E-3</v>
      </c>
      <c r="K195" s="12">
        <f>('Статистика акций за год'!K195-'Статистика акций за год'!K196)/'Статистика акций за год'!K196</f>
        <v>1.1933174224343675E-2</v>
      </c>
      <c r="L195" s="17">
        <v>7.7700000000000005E-2</v>
      </c>
      <c r="M195" s="50">
        <f t="shared" si="2"/>
        <v>2.0503236042790363E-4</v>
      </c>
    </row>
    <row r="196" spans="1:13" x14ac:dyDescent="0.25">
      <c r="A196" s="6">
        <v>44995</v>
      </c>
      <c r="B196" s="12">
        <f>('Статистика акций за год'!B196-'Статистика акций за год'!B197)/'Статистика акций за год'!B197</f>
        <v>-9.8073555166375177E-3</v>
      </c>
      <c r="C196" s="12">
        <f>('Статистика акций за год'!C196-'Статистика акций за год'!C197)/'Статистика акций за год'!C197</f>
        <v>-7.2576142919174736E-3</v>
      </c>
      <c r="D196" s="12">
        <f>('Статистика акций за год'!D196-'Статистика акций за год'!D197)/'Статистика акций за год'!D197</f>
        <v>2.1388294769590179E-3</v>
      </c>
      <c r="E196" s="12">
        <f>('Статистика акций за год'!E196-'Статистика акций за год'!E197)/'Статистика акций за год'!E197</f>
        <v>5.219780219780157E-3</v>
      </c>
      <c r="F196" s="12">
        <f>('Статистика акций за год'!F196-'Статистика акций за год'!F197)/'Статистика акций за год'!F197</f>
        <v>-1.1590843233851192E-4</v>
      </c>
      <c r="G196" s="12">
        <f>('Статистика акций за год'!G196-'Статистика акций за год'!G197)/'Статистика акций за год'!G197</f>
        <v>-4.8473097430925838E-4</v>
      </c>
      <c r="H196" s="12">
        <f>('Статистика акций за год'!H196-'Статистика акций за год'!H197)/'Статистика акций за год'!H197</f>
        <v>-1.6474464579900217E-3</v>
      </c>
      <c r="I196" s="12">
        <f>('Статистика акций за год'!I196-'Статистика акций за год'!I197)/'Статистика акций за год'!I197</f>
        <v>-1.1146496815286623E-2</v>
      </c>
      <c r="J196" s="12">
        <f>('Статистика акций за год'!J196-'Статистика акций за год'!J197)/'Статистика акций за год'!J197</f>
        <v>-5.6682577565631779E-3</v>
      </c>
      <c r="K196" s="12">
        <f>('Статистика акций за год'!K196-'Статистика акций за год'!K197)/'Статистика акций за год'!K197</f>
        <v>-8.6021053074358256E-3</v>
      </c>
      <c r="L196" s="17">
        <v>7.6799999999999993E-2</v>
      </c>
      <c r="M196" s="50">
        <f t="shared" si="2"/>
        <v>2.0274296028421901E-4</v>
      </c>
    </row>
    <row r="197" spans="1:13" x14ac:dyDescent="0.25">
      <c r="A197" s="6">
        <v>44994</v>
      </c>
      <c r="B197" s="12">
        <f>('Статистика акций за год'!B197-'Статистика акций за год'!B198)/'Статистика акций за год'!B198</f>
        <v>3.5149384885765E-3</v>
      </c>
      <c r="C197" s="12">
        <f>('Статистика акций за год'!C197-'Статистика акций за год'!C198)/'Статистика акций за год'!C198</f>
        <v>-8.3656271144736741E-3</v>
      </c>
      <c r="D197" s="12">
        <f>('Статистика акций за год'!D197-'Статистика акций за год'!D198)/'Статистика акций за год'!D198</f>
        <v>-1.9406171162429655E-3</v>
      </c>
      <c r="E197" s="12">
        <f>('Статистика акций за год'!E197-'Статистика акций за год'!E198)/'Статистика акций за год'!E198</f>
        <v>-8.23497117760119E-4</v>
      </c>
      <c r="F197" s="12">
        <f>('Статистика акций за год'!F197-'Статистика акций за год'!F198)/'Статистика акций за год'!F198</f>
        <v>-8.3903223952645229E-3</v>
      </c>
      <c r="G197" s="12">
        <f>('Статистика акций за год'!G197-'Статистика акций за год'!G198)/'Статистика акций за год'!G198</f>
        <v>3.877139979859013E-2</v>
      </c>
      <c r="H197" s="12">
        <f>('Статистика акций за год'!H197-'Статистика акций за год'!H198)/'Статистика акций за год'!H198</f>
        <v>-1.032608695652177E-2</v>
      </c>
      <c r="I197" s="12">
        <f>('Статистика акций за год'!I197-'Статистика акций за год'!I198)/'Статистика акций за год'!I198</f>
        <v>6.41025641025641E-3</v>
      </c>
      <c r="J197" s="12">
        <f>('Статистика акций за год'!J197-'Статистика акций за год'!J198)/'Статистика акций за год'!J198</f>
        <v>-2.380952380952415E-3</v>
      </c>
      <c r="K197" s="12">
        <f>('Статистика акций за год'!K197-'Статистика акций за год'!K198)/'Статистика акций за год'!K198</f>
        <v>-4.7299711997313951E-4</v>
      </c>
      <c r="L197" s="17">
        <v>7.6499999999999999E-2</v>
      </c>
      <c r="M197" s="50">
        <f t="shared" ref="M197:M257" si="3">POWER(L197+1,1/365)-1</f>
        <v>2.0197940282562499E-4</v>
      </c>
    </row>
    <row r="198" spans="1:13" x14ac:dyDescent="0.25">
      <c r="A198" s="6">
        <v>44992</v>
      </c>
      <c r="B198" s="12">
        <f>('Статистика акций за год'!B198-'Статистика акций за год'!B199)/'Статистика акций за год'!B199</f>
        <v>-4.5486354093771525E-3</v>
      </c>
      <c r="C198" s="12">
        <f>('Статистика акций за год'!C198-'Статистика акций за год'!C199)/'Статистика акций за год'!C199</f>
        <v>-4.7750229568411457E-3</v>
      </c>
      <c r="D198" s="12">
        <f>('Статистика акций за год'!D198-'Статистика акций за год'!D199)/'Статистика акций за год'!D199</f>
        <v>-2.9024767801857586E-3</v>
      </c>
      <c r="E198" s="12">
        <f>('Статистика акций за год'!E198-'Статистика акций за год'!E199)/'Статистика акций за год'!E199</f>
        <v>-2.8739564800876181E-3</v>
      </c>
      <c r="F198" s="12">
        <f>('Статистика акций за год'!F198-'Статистика акций за год'!F199)/'Статистика акций за год'!F199</f>
        <v>1.2628026070763429E-2</v>
      </c>
      <c r="G198" s="12">
        <f>('Статистика акций за год'!G198-'Статистика акций за год'!G199)/'Статистика акций за год'!G199</f>
        <v>2.0181634712411706E-3</v>
      </c>
      <c r="H198" s="12">
        <f>('Статистика акций за год'!H198-'Статистика акций за год'!H199)/'Статистика акций за год'!H199</f>
        <v>1.4332965821389163E-2</v>
      </c>
      <c r="I198" s="12">
        <f>('Статистика акций за год'!I198-'Статистика акций за год'!I199)/'Статистика акций за год'!I199</f>
        <v>3.0541713550875696E-3</v>
      </c>
      <c r="J198" s="12">
        <f>('Статистика акций за год'!J198-'Статистика акций за год'!J199)/'Статистика акций за год'!J199</f>
        <v>-4.7393364928910624E-3</v>
      </c>
      <c r="K198" s="12">
        <f>('Статистика акций за год'!K198-'Статистика акций за год'!K199)/'Статистика акций за год'!K199</f>
        <v>-7.179679836370083E-3</v>
      </c>
      <c r="L198" s="17">
        <v>7.6399999999999996E-2</v>
      </c>
      <c r="M198" s="50">
        <f t="shared" si="3"/>
        <v>2.0172483651514916E-4</v>
      </c>
    </row>
    <row r="199" spans="1:13" x14ac:dyDescent="0.25">
      <c r="A199" s="6">
        <v>44991</v>
      </c>
      <c r="B199" s="12">
        <f>('Статистика акций за год'!B199-'Статистика акций за год'!B200)/'Статистика акций за год'!B200</f>
        <v>1.4914772727272662E-2</v>
      </c>
      <c r="C199" s="12">
        <f>('Статистика акций за год'!C199-'Статистика акций за год'!C200)/'Статистика акций за год'!C200</f>
        <v>6.6555740432611326E-3</v>
      </c>
      <c r="D199" s="12">
        <f>('Статистика акций за год'!D199-'Статистика акций за год'!D200)/'Статистика акций за год'!D200</f>
        <v>-4.8141729250914698E-3</v>
      </c>
      <c r="E199" s="12">
        <f>('Статистика акций за год'!E199-'Статистика акций за год'!E200)/'Статистика акций за год'!E200</f>
        <v>1.8255295429208503E-2</v>
      </c>
      <c r="F199" s="12">
        <f>('Статистика акций за год'!F199-'Статистика акций за год'!F200)/'Статистика акций за год'!F200</f>
        <v>3.9728908623510566E-3</v>
      </c>
      <c r="G199" s="12">
        <f>('Статистика акций за год'!G199-'Статистика акций за год'!G200)/'Статистика акций за год'!G200</f>
        <v>1.0193679918450561E-2</v>
      </c>
      <c r="H199" s="12">
        <f>('Статистика акций за год'!H199-'Статистика акций за год'!H200)/'Статистика акций за год'!H200</f>
        <v>8.337965536409116E-3</v>
      </c>
      <c r="I199" s="12">
        <f>('Статистика акций за год'!I199-'Статистика акций за год'!I200)/'Статистика акций за год'!I200</f>
        <v>-4.8200514138810178E-4</v>
      </c>
      <c r="J199" s="12">
        <f>('Статистика акций за год'!J199-'Статистика акций за год'!J200)/'Статистика акций за год'!J200</f>
        <v>8.0621080919678883E-3</v>
      </c>
      <c r="K199" s="12">
        <f>('Статистика акций за год'!K199-'Статистика акций за год'!K200)/'Статистика акций за год'!K200</f>
        <v>1.3591986545519958E-2</v>
      </c>
      <c r="L199" s="17">
        <v>7.6300000000000007E-2</v>
      </c>
      <c r="M199" s="50">
        <f t="shared" si="3"/>
        <v>2.0147024661865132E-4</v>
      </c>
    </row>
    <row r="200" spans="1:13" x14ac:dyDescent="0.25">
      <c r="A200" s="6">
        <v>44988</v>
      </c>
      <c r="B200" s="12">
        <f>('Статистика акций за год'!B200-'Статистика акций за год'!B201)/'Статистика акций за год'!B201</f>
        <v>5.7142857142857195E-3</v>
      </c>
      <c r="C200" s="12">
        <f>('Статистика акций за год'!C200-'Статистика акций за год'!C201)/'Статистика акций за год'!C201</f>
        <v>8.5146053449347697E-3</v>
      </c>
      <c r="D200" s="12">
        <f>('Статистика акций за год'!D200-'Статистика акций за год'!D201)/'Статистика акций за год'!D201</f>
        <v>2.0035356511490732E-2</v>
      </c>
      <c r="E200" s="12">
        <f>('Статистика акций за год'!E200-'Статистика акций за год'!E201)/'Статистика акций за год'!E201</f>
        <v>1.0561892691170258E-2</v>
      </c>
      <c r="F200" s="12">
        <f>('Статистика акций за год'!F200-'Статистика акций за год'!F201)/'Статистика акций за год'!F201</f>
        <v>1.8506396905682742E-2</v>
      </c>
      <c r="G200" s="12">
        <f>('Статистика акций за год'!G200-'Статистика акций за год'!G201)/'Статистика акций за год'!G201</f>
        <v>4.608294930875576E-3</v>
      </c>
      <c r="H200" s="12">
        <f>('Статистика акций за год'!H200-'Статистика акций за год'!H201)/'Статистика акций за год'!H201</f>
        <v>3.3463469046290813E-3</v>
      </c>
      <c r="I200" s="12">
        <f>('Статистика акций за год'!I200-'Статистика акций за год'!I201)/'Статистика акций за год'!I201</f>
        <v>1.2526435659671273E-2</v>
      </c>
      <c r="J200" s="12">
        <f>('Статистика акций за год'!J200-'Статистика акций за год'!J201)/'Статистика акций за год'!J201</f>
        <v>1.4233797698364593E-2</v>
      </c>
      <c r="K200" s="12">
        <f>('Статистика акций за год'!K200-'Статистика акций за год'!K201)/'Статистика акций за год'!K201</f>
        <v>2.9704755943602917E-3</v>
      </c>
      <c r="L200" s="17">
        <v>7.5899999999999995E-2</v>
      </c>
      <c r="M200" s="50">
        <f t="shared" si="3"/>
        <v>2.0045165108406593E-4</v>
      </c>
    </row>
    <row r="201" spans="1:13" x14ac:dyDescent="0.25">
      <c r="A201" s="6">
        <v>44987</v>
      </c>
      <c r="B201" s="12">
        <f>('Статистика акций за год'!B201-'Статистика акций за год'!B202)/'Статистика акций за год'!B202</f>
        <v>-1.2345679012345729E-2</v>
      </c>
      <c r="C201" s="12">
        <f>('Статистика акций за год'!C201-'Статистика акций за год'!C202)/'Статистика акций за год'!C202</f>
        <v>-2.1884498480243125E-2</v>
      </c>
      <c r="D201" s="12">
        <f>('Статистика акций за год'!D201-'Статистика акций за год'!D202)/'Статистика акций за год'!D202</f>
        <v>-1.7560787340795102E-2</v>
      </c>
      <c r="E201" s="12">
        <f>('Статистика акций за год'!E201-'Статистика акций за год'!E202)/'Статистика акций за год'!E202</f>
        <v>-1.7570558937465321E-2</v>
      </c>
      <c r="F201" s="12">
        <f>('Статистика акций за год'!F201-'Статистика акций за год'!F202)/'Статистика акций за год'!F202</f>
        <v>-1.4542895678179733E-2</v>
      </c>
      <c r="G201" s="12">
        <f>('Статистика акций за год'!G201-'Статистика акций за год'!G202)/'Статистика акций за год'!G202</f>
        <v>-1.7605633802816902E-2</v>
      </c>
      <c r="H201" s="12">
        <f>('Статистика акций за год'!H201-'Статистика акций за год'!H202)/'Статистика акций за год'!H202</f>
        <v>-1.5916575192096473E-2</v>
      </c>
      <c r="I201" s="12">
        <f>('Статистика акций за год'!I201-'Статистика акций за год'!I202)/'Статистика акций за год'!I202</f>
        <v>-2.2112631244034325E-2</v>
      </c>
      <c r="J201" s="12">
        <f>('Статистика акций за год'!J201-'Статистика акций за год'!J202)/'Статистика акций за год'!J202</f>
        <v>-1.3739545997610582E-2</v>
      </c>
      <c r="K201" s="12">
        <f>('Статистика акций за год'!K201-'Статистика акций за год'!K202)/'Статистика акций за год'!K202</f>
        <v>-1.3810276100898643E-2</v>
      </c>
      <c r="L201" s="17">
        <v>7.7200000000000005E-2</v>
      </c>
      <c r="M201" s="50">
        <f t="shared" si="3"/>
        <v>2.0376070695582449E-4</v>
      </c>
    </row>
    <row r="202" spans="1:13" x14ac:dyDescent="0.25">
      <c r="A202" s="6">
        <v>44986</v>
      </c>
      <c r="B202" s="12">
        <f>('Статистика акций за год'!B202-'Статистика акций за год'!B203)/'Статистика акций за год'!B203</f>
        <v>5.3191489361702881E-3</v>
      </c>
      <c r="C202" s="12">
        <f>('Статистика акций за год'!C202-'Статистика акций за год'!C203)/'Статистика акций за год'!C203</f>
        <v>4.338449828745404E-2</v>
      </c>
      <c r="D202" s="12">
        <f>('Статистика акций за год'!D202-'Статистика акций за год'!D203)/'Статистика акций за год'!D203</f>
        <v>-4.0361330001920225E-3</v>
      </c>
      <c r="E202" s="12">
        <f>('Статистика акций за год'!E202-'Статистика акций за год'!E203)/'Статистика акций за год'!E203</f>
        <v>8.370535714285714E-3</v>
      </c>
      <c r="F202" s="12">
        <f>('Статистика акций за год'!F202-'Статистика акций за год'!F203)/'Статистика акций за год'!F203</f>
        <v>4.1808974207985395E-3</v>
      </c>
      <c r="G202" s="12">
        <f>('Статистика акций за год'!G202-'Статистика акций за год'!G203)/'Статистика акций за год'!G203</f>
        <v>7.6026355803345156E-3</v>
      </c>
      <c r="H202" s="12">
        <f>('Статистика акций за год'!H202-'Статистика акций за год'!H203)/'Статистика акций за год'!H203</f>
        <v>1.7308766052484614E-2</v>
      </c>
      <c r="I202" s="12">
        <f>('Статистика акций за год'!I202-'Статистика акций за год'!I203)/'Статистика акций за год'!I203</f>
        <v>1.0610932475884282E-2</v>
      </c>
      <c r="J202" s="12">
        <f>('Статистика акций за год'!J202-'Статистика акций за год'!J203)/'Статистика акций за год'!J203</f>
        <v>1.9798964361864149E-2</v>
      </c>
      <c r="K202" s="12">
        <f>('Статистика акций за год'!K202-'Статистика акций за год'!K203)/'Статистика акций за год'!K203</f>
        <v>1.0124388362237434E-2</v>
      </c>
      <c r="L202" s="17">
        <v>7.6799999999999993E-2</v>
      </c>
      <c r="M202" s="50">
        <f t="shared" si="3"/>
        <v>2.0274296028421901E-4</v>
      </c>
    </row>
    <row r="203" spans="1:13" x14ac:dyDescent="0.25">
      <c r="A203" s="6">
        <v>44985</v>
      </c>
      <c r="B203" s="12">
        <f>('Статистика акций за год'!B203-'Статистика акций за год'!B204)/'Статистика акций за год'!B204</f>
        <v>-4.237288135593255E-3</v>
      </c>
      <c r="C203" s="12">
        <f>('Статистика акций за год'!C203-'Статистика акций за год'!C204)/'Статистика акций за год'!C204</f>
        <v>8.443136753230095E-3</v>
      </c>
      <c r="D203" s="12">
        <f>('Статистика акций за год'!D203-'Статистика акций за год'!D204)/'Статистика акций за год'!D204</f>
        <v>2.3809523809523742E-2</v>
      </c>
      <c r="E203" s="12">
        <f>('Статистика акций за год'!E203-'Статистика акций за год'!E204)/'Статистика акций за год'!E204</f>
        <v>1.8169112508734514E-3</v>
      </c>
      <c r="F203" s="12">
        <f>('Статистика акций за год'!F203-'Статистика акций за год'!F204)/'Статистика акций за год'!F204</f>
        <v>-7.649308620182139E-4</v>
      </c>
      <c r="G203" s="12">
        <f>('Статистика акций за год'!G203-'Статистика акций за год'!G204)/'Статистика акций за год'!G204</f>
        <v>1.1794871794871795E-2</v>
      </c>
      <c r="H203" s="12">
        <f>('Статистика акций за год'!H203-'Статистика акций за год'!H204)/'Статистика акций за год'!H204</f>
        <v>-2.2284122562674412E-3</v>
      </c>
      <c r="I203" s="12">
        <f>('Статистика акций за год'!I203-'Статистика акций за год'!I204)/'Статистика акций за год'!I204</f>
        <v>8.4306095979248472E-3</v>
      </c>
      <c r="J203" s="12">
        <f>('Статистика акций за год'!J203-'Статистика акций за год'!J204)/'Статистика акций за год'!J204</f>
        <v>3.8595381208478288E-2</v>
      </c>
      <c r="K203" s="12">
        <f>('Статистика акций за год'!K203-'Статистика акций за год'!K204)/'Статистика акций за год'!K204</f>
        <v>9.9440383374419981E-4</v>
      </c>
      <c r="L203" s="17">
        <v>7.7299999999999994E-2</v>
      </c>
      <c r="M203" s="50">
        <f t="shared" si="3"/>
        <v>2.0401508473510965E-4</v>
      </c>
    </row>
    <row r="204" spans="1:13" x14ac:dyDescent="0.25">
      <c r="A204" s="6">
        <v>44984</v>
      </c>
      <c r="B204" s="12">
        <f>('Статистика акций за год'!B204-'Статистика акций за год'!B205)/'Статистика акций за год'!B205</f>
        <v>5.6818181818181872E-3</v>
      </c>
      <c r="C204" s="12">
        <f>('Статистика акций за год'!C204-'Статистика акций за год'!C205)/'Статистика акций за год'!C205</f>
        <v>1.3746595772273405E-2</v>
      </c>
      <c r="D204" s="12">
        <f>('Статистика акций за год'!D204-'Статистика акций за год'!D205)/'Статистика акций за год'!D205</f>
        <v>1.174596854469436E-2</v>
      </c>
      <c r="E204" s="12">
        <f>('Статистика акций за год'!E204-'Статистика акций за год'!E205)/'Статистика акций за год'!E205</f>
        <v>1.5037593984962438E-2</v>
      </c>
      <c r="F204" s="12">
        <f>('Статистика акций за год'!F204-'Статистика акций за год'!F205)/'Статистика акций за год'!F205</f>
        <v>3.4388314059646846E-2</v>
      </c>
      <c r="G204" s="12">
        <f>('Статистика акций за год'!G204-'Статистика акций за год'!G205)/'Статистика акций за год'!G205</f>
        <v>1.026694045174538E-3</v>
      </c>
      <c r="H204" s="12">
        <f>('Статистика акций за год'!H204-'Статистика акций за год'!H205)/'Статистика акций за год'!H205</f>
        <v>2.046617396247865E-2</v>
      </c>
      <c r="I204" s="12">
        <f>('Статистика акций за год'!I204-'Статистика акций за год'!I205)/'Статистика акций за год'!I205</f>
        <v>-1.2953367875648773E-3</v>
      </c>
      <c r="J204" s="12">
        <f>('Статистика акций за год'!J204-'Статистика акций за год'!J205)/'Статистика акций за год'!J205</f>
        <v>1.1196417146513114E-2</v>
      </c>
      <c r="K204" s="12">
        <f>('Статистика акций за год'!K204-'Статистика акций за год'!K205)/'Статистика акций за год'!K205</f>
        <v>3.4053119803973041E-2</v>
      </c>
      <c r="L204" s="17">
        <v>7.7700000000000005E-2</v>
      </c>
      <c r="M204" s="50">
        <f t="shared" si="3"/>
        <v>2.0503236042790363E-4</v>
      </c>
    </row>
    <row r="205" spans="1:13" x14ac:dyDescent="0.25">
      <c r="A205" s="6">
        <v>44981</v>
      </c>
      <c r="B205" s="12">
        <f>('Статистика акций за год'!B205-'Статистика акций за год'!B206)/'Статистика акций за год'!B206</f>
        <v>6.7929924919557126E-3</v>
      </c>
      <c r="C205" s="12">
        <f>('Статистика акций за год'!C205-'Статистика акций за год'!C206)/'Статистика акций за год'!C206</f>
        <v>-7.0182216212736036E-3</v>
      </c>
      <c r="D205" s="12">
        <f>('Статистика акций за год'!D205-'Статистика акций за год'!D206)/'Статистика акций за год'!D206</f>
        <v>1.3955342902711096E-3</v>
      </c>
      <c r="E205" s="12">
        <f>('Статистика акций за год'!E205-'Статистика акций за год'!E206)/'Статистика акций за год'!E206</f>
        <v>-3.6749116607774175E-3</v>
      </c>
      <c r="F205" s="12">
        <f>('Статистика акций за год'!F205-'Статистика акций за год'!F206)/'Статистика акций за год'!F206</f>
        <v>5.6925996204934002E-3</v>
      </c>
      <c r="G205" s="12">
        <f>('Статистика акций за год'!G205-'Статистика акций за год'!G206)/'Статистика акций за год'!G206</f>
        <v>3.089598352214212E-3</v>
      </c>
      <c r="H205" s="12">
        <f>('Статистика акций за год'!H205-'Статистика акций за год'!H206)/'Статистика акций за год'!H206</f>
        <v>3.4227039361094938E-3</v>
      </c>
      <c r="I205" s="12">
        <f>('Статистика акций за год'!I205-'Статистика акций за год'!I206)/'Статистика акций за год'!I206</f>
        <v>3.738013976921938E-3</v>
      </c>
      <c r="J205" s="12">
        <f>('Статистика акций за год'!J205-'Статистика акций за год'!J206)/'Статистика акций за год'!J206</f>
        <v>-2.5526483726865173E-3</v>
      </c>
      <c r="K205" s="12">
        <f>('Статистика акций за год'!K205-'Статистика акций за год'!K206)/'Статистика акций за год'!K206</f>
        <v>-1.6429424485975258E-2</v>
      </c>
      <c r="L205" s="17">
        <v>7.6200000000000004E-2</v>
      </c>
      <c r="M205" s="50">
        <f t="shared" si="3"/>
        <v>2.0121563313169055E-4</v>
      </c>
    </row>
    <row r="206" spans="1:13" x14ac:dyDescent="0.25">
      <c r="A206" s="6">
        <v>44979</v>
      </c>
      <c r="B206" s="12">
        <f>('Статистика акций за год'!B206-'Статистика акций за год'!B207)/'Статистика акций за год'!B207</f>
        <v>6.8394528437724159E-3</v>
      </c>
      <c r="C206" s="12">
        <f>('Статистика акций за год'!C206-'Статистика акций за год'!C207)/'Статистика акций за год'!C207</f>
        <v>2.193973027037513E-3</v>
      </c>
      <c r="D206" s="12">
        <f>('Статистика акций за год'!D206-'Статистика акций за год'!D207)/'Статистика акций за год'!D207</f>
        <v>-7.9681274900393877E-4</v>
      </c>
      <c r="E206" s="12">
        <f>('Статистика акций за год'!E206-'Статистика акций за год'!E207)/'Статистика акций за год'!E207</f>
        <v>3.1192400396994834E-3</v>
      </c>
      <c r="F206" s="12">
        <f>('Статистика акций за год'!F206-'Статистика акций за год'!F207)/'Статистика акций за год'!F207</f>
        <v>-4.7517514468474022E-3</v>
      </c>
      <c r="G206" s="12">
        <f>('Статистика акций за год'!G206-'Статистика акций за год'!G207)/'Статистика акций за год'!G207</f>
        <v>5.175983436853002E-3</v>
      </c>
      <c r="H206" s="12">
        <f>('Статистика акций за год'!H206-'Статистика акций за год'!H207)/'Статистика акций за год'!H207</f>
        <v>-1.7084282460135703E-3</v>
      </c>
      <c r="I206" s="12">
        <f>('Статистика акций за год'!I206-'Статистика акций за год'!I207)/'Статистика акций за год'!I207</f>
        <v>-6.6193090087181515E-3</v>
      </c>
      <c r="J206" s="12">
        <f>('Статистика акций за год'!J206-'Статистика акций за год'!J207)/'Статистика акций за год'!J207</f>
        <v>-7.5997466751109377E-3</v>
      </c>
      <c r="K206" s="12">
        <f>('Статистика акций за год'!K206-'Статистика акций за год'!K207)/'Статистика акций за год'!K207</f>
        <v>4.8440224762635555E-4</v>
      </c>
      <c r="L206" s="17">
        <v>7.8100000000000003E-2</v>
      </c>
      <c r="M206" s="50">
        <f t="shared" si="3"/>
        <v>2.0604925965206355E-4</v>
      </c>
    </row>
    <row r="207" spans="1:13" x14ac:dyDescent="0.25">
      <c r="A207" s="6">
        <v>44978</v>
      </c>
      <c r="B207" s="12">
        <f>('Статистика акций за год'!B207-'Статистика акций за год'!B208)/'Статистика акций за год'!B208</f>
        <v>1.3868613138686226E-2</v>
      </c>
      <c r="C207" s="12">
        <f>('Статистика акций за год'!C207-'Статистика акций за год'!C208)/'Статистика акций за год'!C208</f>
        <v>1.1289480553380251E-2</v>
      </c>
      <c r="D207" s="12">
        <f>('Статистика акций за год'!D207-'Статистика акций за год'!D208)/'Статистика акций за год'!D208</f>
        <v>1.7430077016619423E-2</v>
      </c>
      <c r="E207" s="12">
        <f>('Статистика акций за год'!E207-'Статистика акций за год'!E208)/'Статистика акций за год'!E208</f>
        <v>1.5989628349178778E-2</v>
      </c>
      <c r="F207" s="12">
        <f>('Статистика акций за год'!F207-'Статистика акций за год'!F208)/'Статистика акций за год'!F208</f>
        <v>2.5360734586794942E-2</v>
      </c>
      <c r="G207" s="12">
        <f>('Статистика акций за год'!G207-'Статистика акций за год'!G208)/'Статистика акций за год'!G208</f>
        <v>1.8987341772151899E-2</v>
      </c>
      <c r="H207" s="12">
        <f>('Статистика акций за год'!H207-'Статистика акций за год'!H208)/'Статистика акций за год'!H208</f>
        <v>1.1520737327188941E-2</v>
      </c>
      <c r="I207" s="12">
        <f>('Статистика акций за год'!I207-'Статистика акций за год'!I208)/'Статистика акций за год'!I208</f>
        <v>3.6999832579943118E-2</v>
      </c>
      <c r="J207" s="12">
        <f>('Статистика акций за год'!J207-'Статистика акций за год'!J208)/'Статистика акций за год'!J208</f>
        <v>5.41228907991082E-3</v>
      </c>
      <c r="K207" s="12">
        <f>('Статистика акций за год'!K207-'Статистика акций за год'!K208)/'Статистика акций за год'!K208</f>
        <v>8.1062603769899693E-3</v>
      </c>
      <c r="L207" s="17">
        <v>7.85E-2</v>
      </c>
      <c r="M207" s="50">
        <f t="shared" si="3"/>
        <v>2.0706578268647746E-4</v>
      </c>
    </row>
    <row r="208" spans="1:13" x14ac:dyDescent="0.25">
      <c r="A208" s="6">
        <v>44977</v>
      </c>
      <c r="B208" s="12">
        <f>('Статистика акций за год'!B208-'Статистика акций за год'!B209)/'Статистика акций за год'!B209</f>
        <v>-5.0835148874364766E-3</v>
      </c>
      <c r="C208" s="12">
        <f>('Статистика акций за год'!C208-'Статистика акций за год'!C209)/'Статистика акций за год'!C209</f>
        <v>-2.4736362452805328E-3</v>
      </c>
      <c r="D208" s="12">
        <f>('Статистика акций за год'!D208-'Статистика акций за год'!D209)/'Статистика акций за год'!D209</f>
        <v>-1.0825982357658448E-2</v>
      </c>
      <c r="E208" s="12">
        <f>('Статистика акций за год'!E208-'Статистика акций за год'!E209)/'Статистика акций за год'!E209</f>
        <v>5.7954216169226304E-3</v>
      </c>
      <c r="F208" s="12">
        <f>('Статистика акций за год'!F208-'Статистика акций за год'!F209)/'Статистика акций за год'!F209</f>
        <v>2.2538032930571193E-3</v>
      </c>
      <c r="G208" s="12">
        <f>('Статистика акций за год'!G208-'Статистика акций за год'!G209)/'Статистика акций за год'!G209</f>
        <v>-6.2893081761006293E-3</v>
      </c>
      <c r="H208" s="12">
        <f>('Статистика акций за год'!H208-'Статистика акций за год'!H209)/'Статистика акций за год'!H209</f>
        <v>7.5449796865930518E-3</v>
      </c>
      <c r="I208" s="12">
        <f>('Статистика акций за год'!I208-'Статистика акций за год'!I209)/'Статистика акций за год'!I209</f>
        <v>-8.6307053941909462E-3</v>
      </c>
      <c r="J208" s="12">
        <f>('Статистика акций за год'!J208-'Статистика акций за год'!J209)/'Статистика акций за год'!J209</f>
        <v>-7.896399241945672E-3</v>
      </c>
      <c r="K208" s="12">
        <f>('Статистика акций за год'!K208-'Статистика акций за год'!K209)/'Статистика акций за год'!K209</f>
        <v>1.4344863560785666E-3</v>
      </c>
      <c r="L208" s="17">
        <v>7.85E-2</v>
      </c>
      <c r="M208" s="50">
        <f t="shared" si="3"/>
        <v>2.0706578268647746E-4</v>
      </c>
    </row>
    <row r="209" spans="1:13" x14ac:dyDescent="0.25">
      <c r="A209" s="6">
        <v>44974</v>
      </c>
      <c r="B209" s="12">
        <f>('Статистика акций за год'!B209-'Статистика акций за год'!B210)/'Статистика акций за год'!B210</f>
        <v>4.0102078016769757E-3</v>
      </c>
      <c r="C209" s="12">
        <f>('Статистика акций за год'!C209-'Статистика акций за год'!C210)/'Статистика акций за год'!C210</f>
        <v>3.9072675175828517E-4</v>
      </c>
      <c r="D209" s="12">
        <f>('Статистика акций за год'!D209-'Статистика акций за год'!D210)/'Статистика акций за год'!D210</f>
        <v>8.2878512229634591E-3</v>
      </c>
      <c r="E209" s="12">
        <f>('Статистика акций за год'!E209-'Статистика акций за год'!E210)/'Статистика акций за год'!E210</f>
        <v>7.4441687344913481E-3</v>
      </c>
      <c r="F209" s="12">
        <f>('Статистика акций за год'!F209-'Статистика акций за год'!F210)/'Статистика акций за год'!F210</f>
        <v>9.5436733661989053E-3</v>
      </c>
      <c r="G209" s="12">
        <f>('Статистика акций за год'!G209-'Статистика акций за год'!G210)/'Статистика акций за год'!G210</f>
        <v>6.8601583113456462E-3</v>
      </c>
      <c r="H209" s="12">
        <f>('Статистика акций за год'!H209-'Статистика акций за год'!H210)/'Статистика акций за год'!H210</f>
        <v>-1.7381228273463671E-3</v>
      </c>
      <c r="I209" s="12">
        <f>('Статистика акций за год'!I209-'Статистика акций за год'!I210)/'Статистика акций за год'!I210</f>
        <v>4.9817336433071152E-4</v>
      </c>
      <c r="J209" s="12">
        <f>('Статистика акций за год'!J209-'Статистика акций за год'!J210)/'Статистика акций за год'!J210</f>
        <v>3.1685678073510772E-3</v>
      </c>
      <c r="K209" s="12">
        <f>('Статистика акций за год'!K209-'Статистика акций за год'!K210)/'Статистика акций за год'!K210</f>
        <v>1.4866936506711096E-2</v>
      </c>
      <c r="L209" s="17">
        <v>7.8299999999999995E-2</v>
      </c>
      <c r="M209" s="50">
        <f t="shared" si="3"/>
        <v>2.0655756817555826E-4</v>
      </c>
    </row>
    <row r="210" spans="1:13" x14ac:dyDescent="0.25">
      <c r="A210" s="6">
        <v>44973</v>
      </c>
      <c r="B210" s="12">
        <f>('Статистика акций за год'!B210-'Статистика акций за год'!B211)/'Статистика акций за год'!B211</f>
        <v>2.9268292682926873E-2</v>
      </c>
      <c r="C210" s="12">
        <f>('Статистика акций за год'!C210-'Статистика акций за год'!C211)/'Статистика акций за год'!C211</f>
        <v>3.0700894898425687E-3</v>
      </c>
      <c r="D210" s="12">
        <f>('Статистика акций за год'!D210-'Статистика акций за год'!D211)/'Статистика акций за год'!D211</f>
        <v>1.2899262899262923E-2</v>
      </c>
      <c r="E210" s="12">
        <f>('Статистика акций за год'!E210-'Статистика акций за год'!E211)/'Статистика акций за год'!E211</f>
        <v>8.6866902237926636E-3</v>
      </c>
      <c r="F210" s="12">
        <f>('Статистика акций за год'!F210-'Статистика акций за год'!F211)/'Статистика акций за год'!F211</f>
        <v>1.2607999999999992E-2</v>
      </c>
      <c r="G210" s="12">
        <f>('Статистика акций за год'!G210-'Статистика акций за год'!G211)/'Статистика акций за год'!G211</f>
        <v>1.6630901287553648E-2</v>
      </c>
      <c r="H210" s="12">
        <f>('Статистика акций за год'!H210-'Статистика акций за год'!H211)/'Статистика акций за год'!H211</f>
        <v>-6.9044879171462426E-3</v>
      </c>
      <c r="I210" s="12">
        <f>('Статистика акций за год'!I210-'Статистика акций за год'!I211)/'Статистика акций за год'!I211</f>
        <v>4.9842166472847352E-4</v>
      </c>
      <c r="J210" s="12">
        <f>('Статистика акций за год'!J210-'Статистика акций за год'!J211)/'Статистика акций за год'!J211</f>
        <v>5.7361376673040511E-3</v>
      </c>
      <c r="K210" s="12">
        <f>('Статистика акций за год'!K210-'Статистика акций за год'!K211)/'Статистика акций за год'!K211</f>
        <v>-8.9951253634118281E-3</v>
      </c>
      <c r="L210" s="17">
        <v>7.9100000000000004E-2</v>
      </c>
      <c r="M210" s="50">
        <f t="shared" si="3"/>
        <v>2.0858986249150391E-4</v>
      </c>
    </row>
    <row r="211" spans="1:13" x14ac:dyDescent="0.25">
      <c r="A211" s="6">
        <v>44972</v>
      </c>
      <c r="B211" s="12">
        <f>('Статистика акций за год'!B211-'Статистика акций за год'!B212)/'Статистика акций за год'!B212</f>
        <v>-4.0331292761973392E-2</v>
      </c>
      <c r="C211" s="12">
        <f>('Статистика акций за год'!C211-'Статистика акций за год'!C212)/'Статистика акций за год'!C212</f>
        <v>-2.1914132379248701E-2</v>
      </c>
      <c r="D211" s="12">
        <f>('Статистика акций за год'!D211-'Статистика акций за год'!D212)/'Статистика акций за год'!D212</f>
        <v>-3.3062759849534835E-2</v>
      </c>
      <c r="E211" s="12">
        <f>('Статистика акций за год'!E211-'Статистика акций за год'!E212)/'Статистика акций за год'!E212</f>
        <v>-1.3364323067983632E-2</v>
      </c>
      <c r="F211" s="12">
        <f>('Статистика акций за год'!F211-'Статистика акций за год'!F212)/'Статистика акций за год'!F212</f>
        <v>-3.4659582355121794E-2</v>
      </c>
      <c r="G211" s="12">
        <f>('Статистика акций за год'!G211-'Статистика акций за год'!G212)/'Статистика акций за год'!G212</f>
        <v>-6.1430010070493452E-2</v>
      </c>
      <c r="H211" s="12">
        <f>('Статистика акций за год'!H211-'Статистика акций за год'!H212)/'Статистика акций за год'!H212</f>
        <v>-4.2424242424242364E-2</v>
      </c>
      <c r="I211" s="12">
        <f>('Статистика акций за год'!I211-'Статистика акций за год'!I212)/'Статистика акций за год'!I212</f>
        <v>-3.2781616583641295E-2</v>
      </c>
      <c r="J211" s="12">
        <f>('Статистика акций за год'!J211-'Статистика акций за год'!J212)/'Статистика акций за год'!J212</f>
        <v>-3.8602941176470486E-2</v>
      </c>
      <c r="K211" s="12">
        <f>('Статистика акций за год'!K211-'Статистика акций за год'!K212)/'Статистика акций за год'!K212</f>
        <v>-3.9785905441569992E-2</v>
      </c>
      <c r="L211" s="17">
        <v>7.85E-2</v>
      </c>
      <c r="M211" s="50">
        <f t="shared" si="3"/>
        <v>2.0706578268647746E-4</v>
      </c>
    </row>
    <row r="212" spans="1:13" x14ac:dyDescent="0.25">
      <c r="A212" s="6">
        <v>44971</v>
      </c>
      <c r="B212" s="12">
        <f>('Статистика акций за год'!B212-'Статистика акций за год'!B213)/'Статистика акций за год'!B213</f>
        <v>-1.9420903954802286E-2</v>
      </c>
      <c r="C212" s="12">
        <f>('Статистика акций за год'!C212-'Статистика акций за год'!C213)/'Статистика акций за год'!C213</f>
        <v>-9.4297829251311985E-3</v>
      </c>
      <c r="D212" s="12">
        <f>('Статистика акций за год'!D212-'Статистика акций за год'!D213)/'Статистика акций за год'!D213</f>
        <v>-2.5655864197530777E-2</v>
      </c>
      <c r="E212" s="12">
        <f>('Статистика акций за год'!E212-'Статистика акций за год'!E213)/'Статистика акций за год'!E213</f>
        <v>-1.4882655981682853E-2</v>
      </c>
      <c r="F212" s="12">
        <f>('Статистика акций за год'!F212-'Статистика акций за год'!F213)/'Статистика акций за год'!F213</f>
        <v>-1.4970788704965796E-2</v>
      </c>
      <c r="G212" s="12">
        <f>('Статистика акций за год'!G212-'Статистика акций за год'!G213)/'Статистика акций за год'!G213</f>
        <v>-1.8774703557312252E-2</v>
      </c>
      <c r="H212" s="12">
        <f>('Статистика акций за год'!H212-'Статистика акций за год'!H213)/'Статистика акций за год'!H213</f>
        <v>-3.2000000000000001E-2</v>
      </c>
      <c r="I212" s="12">
        <f>('Статистика акций за год'!I212-'Статистика акций за год'!I213)/'Статистика акций за год'!I213</f>
        <v>-1.6748301469426487E-2</v>
      </c>
      <c r="J212" s="12">
        <f>('Статистика акций за год'!J212-'Статистика акций за год'!J213)/'Статистика акций за год'!J213</f>
        <v>3.3814940055332489E-3</v>
      </c>
      <c r="K212" s="12">
        <f>('Статистика акций за год'!K212-'Статистика акций за год'!K213)/'Статистика акций за год'!K213</f>
        <v>-1.3469861056467802E-2</v>
      </c>
      <c r="L212" s="17">
        <v>7.8399999999999997E-2</v>
      </c>
      <c r="M212" s="50">
        <f t="shared" si="3"/>
        <v>2.0681168718050813E-4</v>
      </c>
    </row>
    <row r="213" spans="1:13" x14ac:dyDescent="0.25">
      <c r="A213" s="6">
        <v>44970</v>
      </c>
      <c r="B213" s="12">
        <f>('Статистика акций за год'!B213-'Статистика акций за год'!B214)/'Статистика акций за год'!B214</f>
        <v>-1.7349063150589868E-2</v>
      </c>
      <c r="C213" s="12">
        <f>('Статистика акций за год'!C213-'Статистика акций за год'!C214)/'Статистика акций за год'!C214</f>
        <v>-4.2223342576255098E-3</v>
      </c>
      <c r="D213" s="12">
        <f>('Статистика акций за год'!D213-'Статистика акций за год'!D214)/'Статистика акций за год'!D214</f>
        <v>6.0159130603532366E-3</v>
      </c>
      <c r="E213" s="12">
        <f>('Статистика акций за год'!E213-'Статистика акций за год'!E214)/'Статистика акций за год'!E214</f>
        <v>-4.5584045584046232E-3</v>
      </c>
      <c r="F213" s="12">
        <f>('Статистика акций за год'!F213-'Статистика акций за год'!F214)/'Статистика акций за год'!F214</f>
        <v>-7.2498791686806249E-3</v>
      </c>
      <c r="G213" s="12">
        <f>('Статистика акций за год'!G213-'Статистика акций за год'!G214)/'Статистика акций за год'!G214</f>
        <v>2.6889903602232368E-2</v>
      </c>
      <c r="H213" s="12">
        <f>('Статистика акций за год'!H213-'Статистика акций за год'!H214)/'Статистика акций за год'!H214</f>
        <v>2.6737967914438501E-3</v>
      </c>
      <c r="I213" s="12">
        <f>('Статистика акций за год'!I213-'Статистика акций за год'!I214)/'Статистика акций за год'!I214</f>
        <v>3.9657360406091368E-3</v>
      </c>
      <c r="J213" s="12">
        <f>('Статистика акций за год'!J213-'Статистика акций за год'!J214)/'Статистика акций за год'!J214</f>
        <v>5.564142194745012E-3</v>
      </c>
      <c r="K213" s="12">
        <f>('Статистика акций за год'!K213-'Статистика акций за год'!K214)/'Статистика акций за год'!K214</f>
        <v>-6.265754411235178E-3</v>
      </c>
      <c r="L213" s="17">
        <v>7.8399999999999997E-2</v>
      </c>
      <c r="M213" s="50">
        <f t="shared" si="3"/>
        <v>2.0681168718050813E-4</v>
      </c>
    </row>
    <row r="214" spans="1:13" x14ac:dyDescent="0.25">
      <c r="A214" s="6">
        <v>44967</v>
      </c>
      <c r="B214" s="12">
        <f>('Статистика акций за год'!B214-'Статистика акций за год'!B215)/'Статистика акций за год'!B215</f>
        <v>-1.9727891156462528E-2</v>
      </c>
      <c r="C214" s="12">
        <f>('Статистика акций за год'!C214-'Статистика акций за год'!C215)/'Статистика акций за год'!C215</f>
        <v>-3.2037188265594003E-3</v>
      </c>
      <c r="D214" s="12">
        <f>('Статистика акций за год'!D214-'Статистика акций за год'!D215)/'Статистика акций за год'!D215</f>
        <v>3.1146583609108604E-3</v>
      </c>
      <c r="E214" s="12">
        <f>('Статистика акций за год'!E214-'Статистика акций за год'!E215)/'Статистика акций за год'!E215</f>
        <v>2.2844089091947784E-3</v>
      </c>
      <c r="F214" s="12">
        <f>('Статистика акций за год'!F214-'Статистика акций за год'!F215)/'Статистика акций за год'!F215</f>
        <v>1.2703405722582297E-3</v>
      </c>
      <c r="G214" s="12">
        <f>('Статистика акций за год'!G214-'Статистика акций за год'!G215)/'Статистика акций за год'!G215</f>
        <v>-1.5484515484515484E-2</v>
      </c>
      <c r="H214" s="12">
        <f>('Статистика акций за год'!H214-'Статистика акций за год'!H215)/'Статистика акций за год'!H215</f>
        <v>-4.2598509052183776E-3</v>
      </c>
      <c r="I214" s="12">
        <f>('Статистика акций за год'!I214-'Статистика акций за год'!I215)/'Статистика акций за год'!I215</f>
        <v>1.2040455931931289E-2</v>
      </c>
      <c r="J214" s="12">
        <f>('Статистика акций за год'!J214-'Статистика акций за год'!J215)/'Статистика акций за год'!J215</f>
        <v>-2.7743526510480188E-3</v>
      </c>
      <c r="K214" s="12">
        <f>('Статистика акций за год'!K214-'Статистика акций за год'!K215)/'Статистика акций за год'!K215</f>
        <v>-6.1657702611505067E-3</v>
      </c>
      <c r="L214" s="17">
        <v>7.5800000000000006E-2</v>
      </c>
      <c r="M214" s="50">
        <f t="shared" si="3"/>
        <v>2.0019694319151071E-4</v>
      </c>
    </row>
    <row r="215" spans="1:13" x14ac:dyDescent="0.25">
      <c r="A215" s="6">
        <v>44966</v>
      </c>
      <c r="B215" s="12">
        <f>('Статистика акций за год'!B215-'Статистика акций за год'!B216)/'Статистика акций за год'!B216</f>
        <v>-1.0193679918450947E-3</v>
      </c>
      <c r="C215" s="12">
        <f>('Статистика акций за год'!C215-'Статистика акций за год'!C216)/'Статистика акций за год'!C216</f>
        <v>6.3851308635730865E-3</v>
      </c>
      <c r="D215" s="12">
        <f>('Статистика акций за год'!D215-'Статистика акций за год'!D216)/'Статистика акций за год'!D216</f>
        <v>-1.4767932489451347E-2</v>
      </c>
      <c r="E215" s="12">
        <f>('Статистика акций за год'!E215-'Статистика акций за год'!E216)/'Статистика акций за год'!E216</f>
        <v>1.0004287551806943E-3</v>
      </c>
      <c r="F215" s="12">
        <f>('Статистика акций за год'!F215-'Статистика акций за год'!F216)/'Статистика акций за год'!F216</f>
        <v>7.0667072799268753E-3</v>
      </c>
      <c r="G215" s="12">
        <f>('Статистика акций за год'!G215-'Статистика акций за год'!G216)/'Статистика акций за год'!G216</f>
        <v>-2.4912805181863478E-3</v>
      </c>
      <c r="H215" s="12">
        <f>('Статистика акций за год'!H215-'Статистика акций за год'!H216)/'Статистика акций за год'!H216</f>
        <v>1.3491635186184564E-2</v>
      </c>
      <c r="I215" s="12">
        <f>('Статистика акций за год'!I215-'Статистика акций за год'!I216)/'Статистика акций за год'!I216</f>
        <v>-4.9520766773163303E-3</v>
      </c>
      <c r="J215" s="12">
        <f>('Статистика акций за год'!J215-'Статистика акций за год'!J216)/'Статистика акций за год'!J216</f>
        <v>6.1690314620601065E-4</v>
      </c>
      <c r="K215" s="12">
        <f>('Статистика акций за год'!K215-'Статистика акций за год'!K216)/'Статистика акций за год'!K216</f>
        <v>-3.9111038683262017E-3</v>
      </c>
      <c r="L215" s="17">
        <v>7.5399999999999995E-2</v>
      </c>
      <c r="M215" s="50">
        <f t="shared" si="3"/>
        <v>1.9917787545331578E-4</v>
      </c>
    </row>
    <row r="216" spans="1:13" x14ac:dyDescent="0.25">
      <c r="A216" s="6">
        <v>44965</v>
      </c>
      <c r="B216" s="12">
        <f>('Статистика акций за год'!B216-'Статистика акций за год'!B217)/'Статистика акций за год'!B217</f>
        <v>2.6508545517962955E-2</v>
      </c>
      <c r="C216" s="12">
        <f>('Статистика акций за год'!C216-'Статистика акций за год'!C217)/'Статистика акций за год'!C217</f>
        <v>-1.0571089009820464E-2</v>
      </c>
      <c r="D216" s="12">
        <f>('Статистика акций за год'!D216-'Статистика акций за год'!D217)/'Статистика акций за год'!D217</f>
        <v>-1.3407393219690585E-3</v>
      </c>
      <c r="E216" s="12">
        <f>('Статистика акций за год'!E216-'Статистика акций за год'!E217)/'Статистика акций за год'!E217</f>
        <v>-1.5200562983814151E-2</v>
      </c>
      <c r="F216" s="12">
        <f>('Статистика акций за год'!F216-'Статистика акций за год'!F217)/'Статистика акций за год'!F217</f>
        <v>-7.4974303162221459E-3</v>
      </c>
      <c r="G216" s="12">
        <f>('Статистика акций за год'!G216-'Статистика акций за год'!G217)/'Статистика акций за год'!G217</f>
        <v>-1.1330049261083743E-2</v>
      </c>
      <c r="H216" s="12">
        <f>('Статистика акций за год'!H216-'Статистика акций за год'!H217)/'Статистика акций за год'!H217</f>
        <v>2.0374449339207144E-2</v>
      </c>
      <c r="I216" s="12">
        <f>('Статистика акций за год'!I216-'Статистика акций за год'!I217)/'Статистика акций за год'!I217</f>
        <v>4.815409309791332E-3</v>
      </c>
      <c r="J216" s="12">
        <f>('Статистика акций за год'!J216-'Статистика акций за год'!J217)/'Статистика акций за год'!J217</f>
        <v>1.2353304508955444E-3</v>
      </c>
      <c r="K216" s="12">
        <f>('Статистика акций за год'!K216-'Статистика акций за год'!K217)/'Статистика акций за год'!K217</f>
        <v>-2.2451885261407602E-2</v>
      </c>
      <c r="L216" s="17">
        <v>7.5300000000000006E-2</v>
      </c>
      <c r="M216" s="50">
        <f t="shared" si="3"/>
        <v>1.9892304945501316E-4</v>
      </c>
    </row>
    <row r="217" spans="1:13" x14ac:dyDescent="0.25">
      <c r="A217" s="6">
        <v>44964</v>
      </c>
      <c r="B217" s="12">
        <f>('Статистика акций за год'!B217-'Статистика акций за год'!B218)/'Статистика акций за год'!B218</f>
        <v>1.414927484966403E-2</v>
      </c>
      <c r="C217" s="12">
        <f>('Статистика акций за год'!C217-'Статистика акций за год'!C218)/'Статистика акций за год'!C218</f>
        <v>-1.6860247283625692E-3</v>
      </c>
      <c r="D217" s="12">
        <f>('Статистика акций за год'!D217-'Статистика акций за год'!D218)/'Статистика акций за год'!D218</f>
        <v>7.1373456790124338E-3</v>
      </c>
      <c r="E217" s="12">
        <f>('Статистика акций за год'!E217-'Статистика акций за год'!E218)/'Статистика акций за год'!E218</f>
        <v>2.3480265053298695E-2</v>
      </c>
      <c r="F217" s="12">
        <f>('Статистика акций за год'!F217-'Статистика акций за год'!F218)/'Статистика акций за год'!F218</f>
        <v>-1.0174157639595529E-2</v>
      </c>
      <c r="G217" s="12">
        <f>('Статистика акций за год'!G217-'Статистика акций за год'!G218)/'Статистика акций за год'!G218</f>
        <v>1.7543859649122806E-2</v>
      </c>
      <c r="H217" s="12">
        <f>('Статистика акций за год'!H217-'Статистика акций за год'!H218)/'Статистика акций за год'!H218</f>
        <v>-3.8398244651673998E-3</v>
      </c>
      <c r="I217" s="12">
        <f>('Статистика акций за год'!I217-'Статистика акций за год'!I218)/'Статистика акций за год'!I218</f>
        <v>-4.6333280076689201E-3</v>
      </c>
      <c r="J217" s="12">
        <f>('Статистика акций за год'!J217-'Статистика акций за год'!J218)/'Статистика акций за год'!J218</f>
        <v>-5.2227342549922848E-3</v>
      </c>
      <c r="K217" s="12">
        <f>('Статистика акций за год'!K217-'Статистика акций за год'!K218)/'Статистика акций за год'!K218</f>
        <v>-2.7602641116020185E-3</v>
      </c>
      <c r="L217" s="17">
        <v>7.4499999999999997E-2</v>
      </c>
      <c r="M217" s="50">
        <f t="shared" si="3"/>
        <v>1.9688359026459601E-4</v>
      </c>
    </row>
    <row r="218" spans="1:13" x14ac:dyDescent="0.25">
      <c r="A218" s="6">
        <v>44963</v>
      </c>
      <c r="B218" s="12">
        <f>('Статистика акций за год'!B218-'Статистика акций за год'!B219)/'Статистика акций за год'!B219</f>
        <v>1.5080789946139969E-2</v>
      </c>
      <c r="C218" s="12">
        <f>('Статистика акций за год'!C218-'Статистика акций за год'!C219)/'Статистика акций за год'!C219</f>
        <v>-4.5378255734445094E-3</v>
      </c>
      <c r="D218" s="12">
        <f>('Статистика акций за год'!D218-'Статистика акций за год'!D219)/'Статистика акций за год'!D219</f>
        <v>1.5673981191222573E-2</v>
      </c>
      <c r="E218" s="12">
        <f>('Статистика акций за год'!E218-'Статистика акций за год'!E219)/'Статистика акций за год'!E219</f>
        <v>1.5357612988152698E-2</v>
      </c>
      <c r="F218" s="12">
        <f>('Статистика акций за год'!F218-'Статистика акций за год'!F219)/'Статистика акций за год'!F219</f>
        <v>3.6152796725784524E-2</v>
      </c>
      <c r="G218" s="12">
        <f>('Статистика акций за год'!G218-'Статистика акций за год'!G219)/'Статистика акций за год'!G219</f>
        <v>-3.99400898652022E-3</v>
      </c>
      <c r="H218" s="12">
        <f>('Статистика акций за год'!H218-'Статистика акций за год'!H219)/'Статистика акций за год'!H219</f>
        <v>1.0532150776053247E-2</v>
      </c>
      <c r="I218" s="12">
        <f>('Статистика акций за год'!I218-'Статистика акций за год'!I219)/'Статистика акций за год'!I219</f>
        <v>1.44246353322528E-2</v>
      </c>
      <c r="J218" s="12">
        <f>('Статистика акций за год'!J218-'Статистика акций за год'!J219)/'Статистика акций за год'!J219</f>
        <v>4.9397962334054423E-3</v>
      </c>
      <c r="K218" s="12">
        <f>('Статистика акций за год'!K218-'Статистика акций за год'!K219)/'Статистика акций за год'!K219</f>
        <v>4.6183617284443158E-3</v>
      </c>
      <c r="L218" s="17">
        <v>7.3700000000000002E-2</v>
      </c>
      <c r="M218" s="50">
        <f t="shared" si="3"/>
        <v>1.9484261622837451E-4</v>
      </c>
    </row>
    <row r="219" spans="1:13" x14ac:dyDescent="0.25">
      <c r="A219" s="6">
        <v>44960</v>
      </c>
      <c r="B219" s="12">
        <f>('Статистика акций за год'!B219-'Статистика акций за год'!B220)/'Статистика акций за год'!B220</f>
        <v>-1.3810198300283181E-2</v>
      </c>
      <c r="C219" s="12">
        <f>('Статистика акций за год'!C219-'Статистика акций за год'!C220)/'Статистика акций за год'!C220</f>
        <v>1.7520556609740737E-2</v>
      </c>
      <c r="D219" s="12">
        <f>('Статистика акций за год'!D219-'Статистика акций за год'!D220)/'Статистика акций за год'!D220</f>
        <v>-3.5142522452168449E-3</v>
      </c>
      <c r="E219" s="12">
        <f>('Статистика акций за год'!E219-'Статистика акций за год'!E220)/'Статистика акций за год'!E220</f>
        <v>-7.3078047354574677E-4</v>
      </c>
      <c r="F219" s="12">
        <f>('Статистика акций за год'!F219-'Статистика акций за год'!F220)/'Статистика акций за год'!F220</f>
        <v>1.1351520852931968E-2</v>
      </c>
      <c r="G219" s="12">
        <f>('Статистика акций за год'!G219-'Статистика акций за год'!G220)/'Статистика акций за год'!G220</f>
        <v>-1.0375494071146246E-2</v>
      </c>
      <c r="H219" s="12">
        <f>('Статистика акций за год'!H219-'Статистика акций за год'!H220)/'Статистика акций за год'!H220</f>
        <v>-1.0422380691168433E-2</v>
      </c>
      <c r="I219" s="12">
        <f>('Статистика акций за год'!I219-'Статистика акций за год'!I220)/'Статистика акций за год'!I220</f>
        <v>-4.1962556488057178E-3</v>
      </c>
      <c r="J219" s="12">
        <f>('Статистика акций за год'!J219-'Статистика акций за год'!J220)/'Статистика акций за год'!J220</f>
        <v>-8.266993263931554E-3</v>
      </c>
      <c r="K219" s="12">
        <f>('Статистика акций за год'!K219-'Статистика акций за год'!K220)/'Статистика акций за год'!K220</f>
        <v>-1.5536610628635757E-3</v>
      </c>
      <c r="L219" s="17">
        <v>7.3899999999999993E-2</v>
      </c>
      <c r="M219" s="50">
        <f t="shared" si="3"/>
        <v>1.9535300187745186E-4</v>
      </c>
    </row>
    <row r="220" spans="1:13" x14ac:dyDescent="0.25">
      <c r="A220" s="6">
        <v>44959</v>
      </c>
      <c r="B220" s="12">
        <f>('Статистика акций за год'!B220-'Статистика акций за год'!B221)/'Статистика акций за год'!B221</f>
        <v>8.2113530881826793E-3</v>
      </c>
      <c r="C220" s="12">
        <f>('Статистика акций за год'!C220-'Статистика акций за год'!C221)/'Статистика акций за год'!C221</f>
        <v>-1.2648621300284741E-4</v>
      </c>
      <c r="D220" s="12">
        <f>('Статистика акций за год'!D220-'Статистика акций за год'!D221)/'Статистика акций за год'!D221</f>
        <v>1.7279046673287082E-2</v>
      </c>
      <c r="E220" s="12">
        <f>('Статистика акций за год'!E220-'Статистика акций за год'!E221)/'Статистика акций за год'!E221</f>
        <v>-2.6239067055392924E-3</v>
      </c>
      <c r="F220" s="12">
        <f>('Статистика акций за год'!F220-'Статистика акций за год'!F221)/'Статистика акций за год'!F221</f>
        <v>7.3283214353401776E-3</v>
      </c>
      <c r="G220" s="12">
        <f>('Статистика акций за год'!G220-'Статистика акций за год'!G221)/'Статистика акций за год'!G221</f>
        <v>6.4143007360672979E-2</v>
      </c>
      <c r="H220" s="12">
        <f>('Статистика акций за год'!H220-'Статистика акций за год'!H221)/'Статистика акций за год'!H221</f>
        <v>9.9722991689751329E-3</v>
      </c>
      <c r="I220" s="12">
        <f>('Статистика акций за год'!I220-'Статистика акций за год'!I221)/'Статистика акций за год'!I221</f>
        <v>-4.3387433713641841E-3</v>
      </c>
      <c r="J220" s="12">
        <f>('Статистика акций за год'!J220-'Статистика акций за год'!J221)/'Статистика акций за год'!J221</f>
        <v>-5.783866057838591E-3</v>
      </c>
      <c r="K220" s="12">
        <f>('Статистика акций за год'!K220-'Статистика акций за год'!K221)/'Статистика акций за год'!K221</f>
        <v>1.6060330982473428E-3</v>
      </c>
      <c r="L220" s="17">
        <v>7.3200000000000001E-2</v>
      </c>
      <c r="M220" s="50">
        <f t="shared" si="3"/>
        <v>1.9356623719635202E-4</v>
      </c>
    </row>
    <row r="221" spans="1:13" x14ac:dyDescent="0.25">
      <c r="A221" s="6">
        <v>44958</v>
      </c>
      <c r="B221" s="12">
        <f>('Статистика акций за год'!B221-'Статистика акций за год'!B222)/'Статистика акций за год'!B222</f>
        <v>3.5714285714291298E-4</v>
      </c>
      <c r="C221" s="12">
        <f>('Статистика акций за год'!C221-'Статистика акций за год'!C222)/'Статистика акций за год'!C222</f>
        <v>1.2650221378880604E-4</v>
      </c>
      <c r="D221" s="12">
        <f>('Статистика акций за год'!D221-'Статистика акций за год'!D222)/'Статистика акций за год'!D222</f>
        <v>8.4117764870818915E-3</v>
      </c>
      <c r="E221" s="12">
        <f>('Статистика акций за год'!E221-'Статистика акций за год'!E222)/'Статистика акций за год'!E222</f>
        <v>6.6030814380044021E-3</v>
      </c>
      <c r="F221" s="12">
        <f>('Статистика акций за год'!F221-'Статистика акций за год'!F222)/'Статистика акций за год'!F222</f>
        <v>1.3917884481558732E-3</v>
      </c>
      <c r="G221" s="12">
        <f>('Статистика акций за год'!G221-'Статистика акций за год'!G222)/'Статистика акций за год'!G222</f>
        <v>-1.7561983471074381E-2</v>
      </c>
      <c r="H221" s="12">
        <f>('Статистика акций за год'!H221-'Статистика акций за год'!H222)/'Статистика акций за год'!H222</f>
        <v>1.5756893640967988E-2</v>
      </c>
      <c r="I221" s="12">
        <f>('Статистика акций за год'!I221-'Статистика акций за год'!I222)/'Статистика акций за год'!I222</f>
        <v>5.1687934097882924E-3</v>
      </c>
      <c r="J221" s="12">
        <f>('Статистика акций за год'!J221-'Статистика акций за год'!J222)/'Статистика акций за год'!J222</f>
        <v>-9.1240875912412215E-4</v>
      </c>
      <c r="K221" s="12">
        <f>('Статистика акций за год'!K221-'Статистика акций за год'!K222)/'Статистика акций за год'!K222</f>
        <v>1.2384766736913686E-3</v>
      </c>
      <c r="L221" s="17">
        <v>7.3099999999999998E-2</v>
      </c>
      <c r="M221" s="50">
        <f t="shared" si="3"/>
        <v>1.9331089022722736E-4</v>
      </c>
    </row>
    <row r="222" spans="1:13" x14ac:dyDescent="0.25">
      <c r="A222" s="6">
        <v>44957</v>
      </c>
      <c r="B222" s="12">
        <f>('Статистика акций за год'!B222-'Статистика акций за год'!B223)/'Статистика акций за год'!B223</f>
        <v>5.0251256281407244E-3</v>
      </c>
      <c r="C222" s="12">
        <f>('Статистика акций за год'!C222-'Статистика акций за год'!C223)/'Статистика акций за год'!C223</f>
        <v>-1.9569471624266287E-3</v>
      </c>
      <c r="D222" s="12">
        <f>('Статистика акций за год'!D222-'Статистика акций за год'!D223)/'Статистика акций за год'!D223</f>
        <v>1.939567170273581E-2</v>
      </c>
      <c r="E222" s="12">
        <f>('Статистика акций за год'!E222-'Статистика акций за год'!E223)/'Статистика акций за год'!E223</f>
        <v>9.1811046942100495E-3</v>
      </c>
      <c r="F222" s="12">
        <f>('Статистика акций за год'!F222-'Статистика акций за год'!F223)/'Статистика акций за год'!F223</f>
        <v>3.0577650280349446E-2</v>
      </c>
      <c r="G222" s="12">
        <f>('Статистика акций за год'!G222-'Статистика акций за год'!G223)/'Статистика акций за год'!G223</f>
        <v>2.3796932839767318E-2</v>
      </c>
      <c r="H222" s="12">
        <f>('Статистика акций за год'!H222-'Статистика акций за год'!H223)/'Статистика акций за год'!H223</f>
        <v>1.4848657909765816E-2</v>
      </c>
      <c r="I222" s="12">
        <f>('Статистика акций за год'!I222-'Статистика акций за год'!I223)/'Статистика акций за год'!I223</f>
        <v>1.5417418402492991E-2</v>
      </c>
      <c r="J222" s="12">
        <f>('Статистика акций за год'!J222-'Статистика акций за год'!J223)/'Статистика акций за год'!J223</f>
        <v>-1.1722272317402999E-2</v>
      </c>
      <c r="K222" s="12">
        <f>('Статистика акций за год'!K222-'Статистика акций за год'!K223)/'Статистика акций за год'!K223</f>
        <v>1.4016751233048777E-2</v>
      </c>
      <c r="L222" s="17">
        <v>7.2999999999999995E-2</v>
      </c>
      <c r="M222" s="50">
        <f t="shared" si="3"/>
        <v>1.9305551952708555E-4</v>
      </c>
    </row>
    <row r="223" spans="1:13" x14ac:dyDescent="0.25">
      <c r="A223" s="6">
        <v>44956</v>
      </c>
      <c r="B223" s="12">
        <f>('Статистика акций за год'!B223-'Статистика акций за год'!B224)/'Статистика акций за год'!B224</f>
        <v>5.7761732851985608E-3</v>
      </c>
      <c r="C223" s="12">
        <f>('Статистика акций за год'!C223-'Статистика акций за год'!C224)/'Статистика акций за год'!C224</f>
        <v>-4.2117173749058072E-3</v>
      </c>
      <c r="D223" s="12">
        <f>('Статистика акций за год'!D223-'Статистика акций за год'!D224)/'Статистика акций за год'!D224</f>
        <v>1.1356597150526533E-2</v>
      </c>
      <c r="E223" s="12">
        <f>('Статистика акций за год'!E223-'Статистика акций за год'!E224)/'Статистика акций за год'!E224</f>
        <v>2.0774595637334577E-3</v>
      </c>
      <c r="F223" s="12">
        <f>('Статистика акций за год'!F223-'Статистика акций за год'!F224)/'Статистика акций за год'!F224</f>
        <v>1.1749347258486085E-3</v>
      </c>
      <c r="G223" s="12">
        <f>('Статистика акций за год'!G223-'Статистика акций за год'!G224)/'Статистика акций за год'!G224</f>
        <v>6.3863757317722189E-3</v>
      </c>
      <c r="H223" s="12">
        <f>('Статистика акций за год'!H223-'Статистика акций за год'!H224)/'Статистика акций за год'!H224</f>
        <v>-3.9817974971559558E-3</v>
      </c>
      <c r="I223" s="12">
        <f>('Статистика акций за год'!I223-'Статистика акций за год'!I224)/'Статистика акций за год'!I224</f>
        <v>-1.6374652038644178E-3</v>
      </c>
      <c r="J223" s="12">
        <f>('Статистика акций за год'!J223-'Статистика акций за год'!J224)/'Статистика акций за год'!J224</f>
        <v>-9.0090090090093507E-4</v>
      </c>
      <c r="K223" s="12">
        <f>('Статистика акций за год'!K223-'Статистика акций за год'!K224)/'Статистика акций за год'!K224</f>
        <v>-5.0182895492608785E-3</v>
      </c>
      <c r="L223" s="17">
        <v>7.2700000000000001E-2</v>
      </c>
      <c r="M223" s="50">
        <f t="shared" si="3"/>
        <v>1.9228926499526011E-4</v>
      </c>
    </row>
    <row r="224" spans="1:13" x14ac:dyDescent="0.25">
      <c r="A224" s="6">
        <v>44953</v>
      </c>
      <c r="B224" s="12">
        <f>('Статистика акций за год'!B224-'Статистика акций за год'!B225)/'Статистика акций за год'!B225</f>
        <v>1.46520146520146E-2</v>
      </c>
      <c r="C224" s="12">
        <f>('Статистика акций за год'!C224-'Статистика акций за год'!C225)/'Статистика акций за год'!C225</f>
        <v>9.5189744891483689E-3</v>
      </c>
      <c r="D224" s="12">
        <f>('Статистика акций за год'!D224-'Статистика акций за год'!D225)/'Статистика акций за год'!D225</f>
        <v>8.9583333333333563E-3</v>
      </c>
      <c r="E224" s="12">
        <f>('Статистика акций за год'!E224-'Статистика акций за год'!E225)/'Статистика акций за год'!E225</f>
        <v>5.8208955223880256E-3</v>
      </c>
      <c r="F224" s="12">
        <f>('Статистика акций за год'!F224-'Статистика акций за год'!F225)/'Статистика акций за год'!F225</f>
        <v>5.2493438320208854E-3</v>
      </c>
      <c r="G224" s="12">
        <f>('Статистика акций за год'!G224-'Статистика акций за год'!G225)/'Статистика акций за год'!G225</f>
        <v>4.27578834847675E-3</v>
      </c>
      <c r="H224" s="12">
        <f>('Статистика акций за год'!H224-'Статистика акций за год'!H225)/'Статистика акций за год'!H225</f>
        <v>1.0344827586206962E-2</v>
      </c>
      <c r="I224" s="12">
        <f>('Статистика акций за год'!I224-'Статистика акций за год'!I225)/'Статистика акций за год'!I225</f>
        <v>-3.1015344433561495E-3</v>
      </c>
      <c r="J224" s="12">
        <f>('Статистика акций за год'!J224-'Статистика акций за год'!J225)/'Статистика акций за год'!J225</f>
        <v>-9.000900090009342E-4</v>
      </c>
      <c r="K224" s="12">
        <f>('Статистика акций за год'!K224-'Статистика акций за год'!K225)/'Статистика акций за год'!K225</f>
        <v>6.6135821879596103E-3</v>
      </c>
      <c r="L224" s="17">
        <v>7.3200000000000001E-2</v>
      </c>
      <c r="M224" s="50">
        <f t="shared" si="3"/>
        <v>1.9356623719635202E-4</v>
      </c>
    </row>
    <row r="225" spans="1:13" x14ac:dyDescent="0.25">
      <c r="A225" s="6">
        <v>44952</v>
      </c>
      <c r="B225" s="12">
        <f>('Статистика акций за год'!B225-'Статистика акций за год'!B226)/'Статистика акций за год'!B226</f>
        <v>-4.3763676148796862E-3</v>
      </c>
      <c r="C225" s="12">
        <f>('Статистика акций за год'!C225-'Статистика акций за год'!C226)/'Статистика акций за год'!C226</f>
        <v>-8.8684822944839082E-3</v>
      </c>
      <c r="D225" s="12">
        <f>('Статистика акций за год'!D225-'Статистика акций за год'!D226)/'Статистика акций за год'!D226</f>
        <v>-2.0790020790020791E-3</v>
      </c>
      <c r="E225" s="12">
        <f>('Статистика акций за год'!E225-'Статистика акций за год'!E226)/'Статистика акций за год'!E226</f>
        <v>-9.4618568894145137E-3</v>
      </c>
      <c r="F225" s="12">
        <f>('Статистика акций за год'!F225-'Статистика акций за год'!F226)/'Статистика акций за год'!F226</f>
        <v>-2.6830704796806269E-3</v>
      </c>
      <c r="G225" s="12">
        <f>('Статистика акций за год'!G225-'Статистика акций за год'!G226)/'Статистика акций за год'!G226</f>
        <v>1.6059957173447537E-3</v>
      </c>
      <c r="H225" s="12">
        <f>('Статистика акций за год'!H225-'Статистика акций за год'!H226)/'Статистика акций за год'!H226</f>
        <v>-1.0238907849829415E-2</v>
      </c>
      <c r="I225" s="12">
        <f>('Статистика акций за год'!I225-'Статистика акций за год'!I226)/'Статистика акций за год'!I226</f>
        <v>-4.2262678803641459E-3</v>
      </c>
      <c r="J225" s="12">
        <f>('Статистика акций за год'!J225-'Статистика акций за год'!J226)/'Статистика акций за год'!J226</f>
        <v>-3.2894736842104247E-3</v>
      </c>
      <c r="K225" s="12">
        <f>('Статистика акций за год'!K225-'Статистика акций за год'!K226)/'Статистика акций за год'!K226</f>
        <v>-1.1853863143603566E-3</v>
      </c>
      <c r="L225" s="17">
        <v>7.2900000000000006E-2</v>
      </c>
      <c r="M225" s="50">
        <f t="shared" si="3"/>
        <v>1.9280012509126365E-4</v>
      </c>
    </row>
    <row r="226" spans="1:13" x14ac:dyDescent="0.25">
      <c r="A226" s="6">
        <v>44951</v>
      </c>
      <c r="B226" s="12">
        <f>('Статистика акций за год'!B226-'Статистика акций за год'!B227)/'Статистика акций за год'!B227</f>
        <v>2.9261155815655396E-3</v>
      </c>
      <c r="C226" s="12">
        <f>('Статистика акций за год'!C226-'Статистика акций за год'!C227)/'Статистика акций за год'!C227</f>
        <v>7.0306561945782473E-3</v>
      </c>
      <c r="D226" s="12">
        <f>('Статистика акций за год'!D226-'Статистика акций за год'!D227)/'Статистика акций за год'!D227</f>
        <v>6.2761506276150627E-3</v>
      </c>
      <c r="E226" s="12">
        <f>('Статистика акций за год'!E226-'Статистика акций за год'!E227)/'Статистика акций за год'!E227</f>
        <v>4.3058648849294391E-3</v>
      </c>
      <c r="F226" s="12">
        <f>('Статистика акций за год'!F226-'Статистика акций за год'!F227)/'Статистика акций за год'!F227</f>
        <v>9.8257565832572842E-4</v>
      </c>
      <c r="G226" s="12">
        <f>('Статистика акций за год'!G226-'Статистика акций за год'!G227)/'Статистика акций за год'!G227</f>
        <v>-1.942257217847769E-2</v>
      </c>
      <c r="H226" s="12">
        <f>('Статистика акций за год'!H226-'Статистика акций за год'!H227)/'Статистика акций за год'!H227</f>
        <v>-9.5774647887323303E-3</v>
      </c>
      <c r="I226" s="12">
        <f>('Статистика акций за год'!I226-'Статистика акций за год'!I227)/'Статистика акций за год'!I227</f>
        <v>9.6832430658133784E-3</v>
      </c>
      <c r="J226" s="12">
        <f>('Статистика акций за год'!J226-'Статистика акций за год'!J227)/'Статистика акций за год'!J227</f>
        <v>2.0976925382079374E-3</v>
      </c>
      <c r="K226" s="12">
        <f>('Статистика акций за год'!K226-'Статистика акций за год'!K227)/'Статистика акций за год'!K227</f>
        <v>-3.4228248907018171E-3</v>
      </c>
      <c r="L226" s="17">
        <v>7.4300000000000005E-2</v>
      </c>
      <c r="M226" s="50">
        <f t="shared" si="3"/>
        <v>1.9637348886036854E-4</v>
      </c>
    </row>
    <row r="227" spans="1:13" x14ac:dyDescent="0.25">
      <c r="A227" s="6">
        <v>44950</v>
      </c>
      <c r="B227" s="12">
        <f>('Статистика акций за год'!B227-'Статистика акций за год'!B228)/'Статистика акций за год'!B228</f>
        <v>-1.6546762589928089E-2</v>
      </c>
      <c r="C227" s="12">
        <f>('Статистика акций за год'!C227-'Статистика акций за год'!C228)/'Статистика акций за год'!C228</f>
        <v>-1.3619892540297432E-2</v>
      </c>
      <c r="D227" s="12">
        <f>('Статистика акций за год'!D227-'Статистика акций за год'!D228)/'Статистика акций за год'!D228</f>
        <v>-3.543881592662057E-3</v>
      </c>
      <c r="E227" s="12">
        <f>('Статистика акций за год'!E227-'Статистика акций за год'!E228)/'Статистика акций за год'!E228</f>
        <v>-9.7044552271725072E-3</v>
      </c>
      <c r="F227" s="12">
        <f>('Статистика акций за год'!F227-'Статистика акций за год'!F228)/'Статистика акций за год'!F228</f>
        <v>-5.4723127035830842E-3</v>
      </c>
      <c r="G227" s="12">
        <f>('Статистика акций за год'!G227-'Статистика акций за год'!G228)/'Статистика акций за год'!G228</f>
        <v>-2.0953378732320588E-3</v>
      </c>
      <c r="H227" s="12">
        <f>('Статистика акций за год'!H227-'Статистика акций за год'!H228)/'Статистика акций за год'!H228</f>
        <v>-1.0039040713887403E-2</v>
      </c>
      <c r="I227" s="12">
        <f>('Статистика акций за год'!I227-'Статистика акций за год'!I228)/'Статистика акций за год'!I228</f>
        <v>5.6114870440666402E-3</v>
      </c>
      <c r="J227" s="12">
        <f>('Статистика акций за год'!J227-'Статистика акций за год'!J228)/'Статистика акций за год'!J228</f>
        <v>-2.987750224081267E-3</v>
      </c>
      <c r="K227" s="12">
        <f>('Статистика акций за год'!K227-'Статистика акций за год'!K228)/'Статистика акций за год'!K228</f>
        <v>-8.2908610279466954E-3</v>
      </c>
      <c r="L227" s="17">
        <v>7.4399999999999994E-2</v>
      </c>
      <c r="M227" s="50">
        <f t="shared" si="3"/>
        <v>1.9662855139923607E-4</v>
      </c>
    </row>
    <row r="228" spans="1:13" x14ac:dyDescent="0.25">
      <c r="A228" s="6">
        <v>44949</v>
      </c>
      <c r="B228" s="12">
        <f>('Статистика акций за год'!B228-'Статистика акций за год'!B229)/'Статистика акций за год'!B229</f>
        <v>0</v>
      </c>
      <c r="C228" s="12">
        <f>('Статистика акций за год'!C228-'Статистика акций за год'!C229)/'Статистика акций за год'!C229</f>
        <v>7.6172489770223988E-3</v>
      </c>
      <c r="D228" s="12">
        <f>('Статистика акций за год'!D228-'Статистика акций за год'!D229)/'Статистика акций за год'!D229</f>
        <v>-2.0842017507299445E-4</v>
      </c>
      <c r="E228" s="12">
        <f>('Статистика акций за год'!E228-'Статистика акций за год'!E229)/'Статистика акций за год'!E229</f>
        <v>1.0399643440796314E-2</v>
      </c>
      <c r="F228" s="12">
        <f>('Статистика акций за год'!F228-'Статистика акций за год'!F229)/'Статистика акций за год'!F229</f>
        <v>1.4004492006870159E-2</v>
      </c>
      <c r="G228" s="12">
        <f>('Статистика акций за год'!G228-'Статистика акций за год'!G229)/'Статистика акций за год'!G229</f>
        <v>1.0587612493382742E-2</v>
      </c>
      <c r="H228" s="12">
        <f>('Статистика акций за год'!H228-'Статистика акций за год'!H229)/'Статистика акций за год'!H229</f>
        <v>3.8216560509554277E-2</v>
      </c>
      <c r="I228" s="12">
        <f>('Статистика акций за год'!I228-'Статистика акций за год'!I229)/'Статистика акций за год'!I229</f>
        <v>2.8136378682554314E-3</v>
      </c>
      <c r="J228" s="12">
        <f>('Статистика акций за год'!J228-'Статистика акций за год'!J229)/'Статистика акций за год'!J229</f>
        <v>2.9967036260113876E-3</v>
      </c>
      <c r="K228" s="12">
        <f>('Статистика акций за год'!K228-'Статистика акций за год'!K229)/'Статистика акций за год'!K229</f>
        <v>6.8657498890995474E-3</v>
      </c>
      <c r="L228" s="17">
        <v>7.4700000000000003E-2</v>
      </c>
      <c r="M228" s="50">
        <f t="shared" si="3"/>
        <v>1.9739359699100234E-4</v>
      </c>
    </row>
    <row r="229" spans="1:13" x14ac:dyDescent="0.25">
      <c r="A229" s="6">
        <v>44946</v>
      </c>
      <c r="B229" s="12">
        <f>('Статистика акций за год'!B229-'Статистика акций за год'!B230)/'Статистика акций за год'!B230</f>
        <v>1.1644832605531306E-2</v>
      </c>
      <c r="C229" s="12">
        <f>('Статистика акций за год'!C229-'Статистика акций за год'!C230)/'Статистика акций за год'!C230</f>
        <v>-1.0465333582507985E-2</v>
      </c>
      <c r="D229" s="12">
        <f>('Статистика акций за год'!D229-'Статистика акций за год'!D230)/'Статистика акций за год'!D230</f>
        <v>1.2236286919831248E-2</v>
      </c>
      <c r="E229" s="12">
        <f>('Статистика акций за год'!E229-'Статистика акций за год'!E230)/'Статистика акций за год'!E230</f>
        <v>-9.5644496762801647E-3</v>
      </c>
      <c r="F229" s="12">
        <f>('Статистика акций за год'!F229-'Статистика акций за год'!F230)/'Статистика акций за год'!F230</f>
        <v>1.3660104459622284E-2</v>
      </c>
      <c r="G229" s="12">
        <f>('Статистика акций за год'!G229-'Статистика акций за год'!G230)/'Статистика акций за год'!G230</f>
        <v>-5.2659294365455505E-3</v>
      </c>
      <c r="H229" s="12">
        <f>('Статистика акций за год'!H229-'Статистика акций за год'!H230)/'Статистика акций за год'!H230</f>
        <v>-7.4712643678161569E-3</v>
      </c>
      <c r="I229" s="12">
        <f>('Статистика акций за год'!I229-'Статистика акций за год'!I230)/'Статистика акций за год'!I230</f>
        <v>-4.2847725774553544E-3</v>
      </c>
      <c r="J229" s="12">
        <f>('Статистика акций за год'!J229-'Статистика акций за год'!J230)/'Статистика акций за год'!J230</f>
        <v>-4.4749403341288784E-3</v>
      </c>
      <c r="K229" s="12">
        <f>('Статистика акций за год'!K229-'Статистика акций за год'!K230)/'Статистика акций за год'!K230</f>
        <v>-1.2083618640996148E-3</v>
      </c>
      <c r="L229" s="17">
        <v>7.46E-2</v>
      </c>
      <c r="M229" s="50">
        <f t="shared" si="3"/>
        <v>1.971386054602231E-4</v>
      </c>
    </row>
    <row r="230" spans="1:13" x14ac:dyDescent="0.25">
      <c r="A230" s="6">
        <v>44945</v>
      </c>
      <c r="B230" s="12">
        <f>('Статистика акций за год'!B230-'Статистика акций за год'!B231)/'Статистика акций за год'!B231</f>
        <v>-2.9027576197386902E-3</v>
      </c>
      <c r="C230" s="12">
        <f>('Статистика акций за год'!C230-'Статистика акций за год'!C231)/'Статистика акций за год'!C231</f>
        <v>-1.0173880873103993E-2</v>
      </c>
      <c r="D230" s="12">
        <f>('Статистика акций за год'!D230-'Статистика акций за год'!D231)/'Статистика акций за год'!D231</f>
        <v>-2.5252525252525012E-3</v>
      </c>
      <c r="E230" s="12">
        <f>('Статистика акций за год'!E230-'Статистика акций за год'!E231)/'Статистика акций за год'!E231</f>
        <v>-1.2639837280255604E-2</v>
      </c>
      <c r="F230" s="12">
        <f>('Статистика акций за год'!F230-'Статистика акций за год'!F231)/'Статистика акций за год'!F231</f>
        <v>-1.4062190532778738E-2</v>
      </c>
      <c r="G230" s="12">
        <f>('Статистика акций за год'!G230-'Статистика акций за год'!G231)/'Статистика акций за год'!G231</f>
        <v>-1.1452368558042686E-2</v>
      </c>
      <c r="H230" s="12">
        <f>('Статистика акций за год'!H230-'Статистика акций за год'!H231)/'Статистика акций за год'!H231</f>
        <v>-2.0821609454136122E-2</v>
      </c>
      <c r="I230" s="12">
        <f>('Статистика акций за год'!I230-'Статистика акций за год'!I231)/'Статистика акций за год'!I231</f>
        <v>-8.9825249060917853E-3</v>
      </c>
      <c r="J230" s="12">
        <f>('Статистика акций за год'!J230-'Статистика акций за год'!J231)/'Статистика акций за год'!J231</f>
        <v>-1.1209439528023632E-2</v>
      </c>
      <c r="K230" s="12">
        <f>('Статистика акций за год'!K230-'Статистика акций за год'!K231)/'Статистика акций за год'!K231</f>
        <v>-1.3186267203259284E-2</v>
      </c>
      <c r="L230" s="17">
        <v>7.4399999999999994E-2</v>
      </c>
      <c r="M230" s="50">
        <f t="shared" si="3"/>
        <v>1.9662855139923607E-4</v>
      </c>
    </row>
    <row r="231" spans="1:13" x14ac:dyDescent="0.25">
      <c r="A231" s="6">
        <v>44944</v>
      </c>
      <c r="B231" s="12">
        <f>('Статистика акций за год'!B231-'Статистика акций за год'!B232)/'Статистика акций за год'!B232</f>
        <v>4.3731778425655041E-3</v>
      </c>
      <c r="C231" s="12">
        <f>('Статистика акций за год'!C231-'Статистика акций за год'!C232)/'Статистика акций за год'!C232</f>
        <v>-9.2404361485865622E-4</v>
      </c>
      <c r="D231" s="12">
        <f>('Статистика акций за год'!D231-'Статистика акций за год'!D232)/'Статистика акций за год'!D232</f>
        <v>-4.6082949308755526E-3</v>
      </c>
      <c r="E231" s="12">
        <f>('Статистика акций за год'!E231-'Статистика акций за год'!E232)/'Статистика акций за год'!E232</f>
        <v>8.202724476343794E-3</v>
      </c>
      <c r="F231" s="12">
        <f>('Статистика акций за год'!F231-'Статистика акций за год'!F232)/'Статистика акций за год'!F232</f>
        <v>6.7796610169492209E-3</v>
      </c>
      <c r="G231" s="12">
        <f>('Статистика акций за год'!G231-'Статистика акций за год'!G232)/'Статистика акций за год'!G232</f>
        <v>8.3989501312335957E-3</v>
      </c>
      <c r="H231" s="12">
        <f>('Статистика акций за год'!H231-'Статистика акций за год'!H232)/'Статистика акций за год'!H232</f>
        <v>-5.6242969628809189E-4</v>
      </c>
      <c r="I231" s="12">
        <f>('Статистика акций за год'!I231-'Статистика акций за год'!I232)/'Статистика акций за год'!I232</f>
        <v>8.3992094861658571E-3</v>
      </c>
      <c r="J231" s="12">
        <f>('Статистика акций за год'!J231-'Статистика акций за год'!J232)/'Статистика акций за год'!J232</f>
        <v>-8.1919251023990971E-3</v>
      </c>
      <c r="K231" s="12">
        <f>('Статистика акций за год'!K231-'Статистика акций за год'!K232)/'Статистика акций за год'!K232</f>
        <v>3.4900533479583187E-3</v>
      </c>
      <c r="L231" s="17">
        <v>7.4099999999999999E-2</v>
      </c>
      <c r="M231" s="50">
        <f t="shared" si="3"/>
        <v>1.9586329274301484E-4</v>
      </c>
    </row>
    <row r="232" spans="1:13" x14ac:dyDescent="0.25">
      <c r="A232" s="6">
        <v>44943</v>
      </c>
      <c r="B232" s="12">
        <f>('Статистика акций за год'!B232-'Статистика акций за год'!B233)/'Статистика акций за год'!B233</f>
        <v>-4.6560111188325218E-2</v>
      </c>
      <c r="C232" s="12">
        <f>('Статистика акций за год'!C232-'Статистика акций за год'!C233)/'Статистика акций за год'!C233</f>
        <v>-2.0928829915560908E-2</v>
      </c>
      <c r="D232" s="12">
        <f>('Статистика акций за год'!D232-'Статистика акций за год'!D233)/'Статистика акций за год'!D233</f>
        <v>-1.4450867052023123E-2</v>
      </c>
      <c r="E232" s="12">
        <f>('Статистика акций за год'!E232-'Статистика акций за год'!E233)/'Статистика акций за год'!E233</f>
        <v>-1.2868710237131256E-2</v>
      </c>
      <c r="F232" s="12">
        <f>('Статистика акций за год'!F232-'Статистика акций за год'!F233)/'Статистика акций за год'!F233</f>
        <v>-2.1208769761238821E-2</v>
      </c>
      <c r="G232" s="12">
        <f>('Статистика акций за год'!G232-'Статистика акций за год'!G233)/'Статистика акций за год'!G233</f>
        <v>-5.7411273486430063E-3</v>
      </c>
      <c r="H232" s="12">
        <f>('Статистика акций за год'!H232-'Статистика акций за год'!H233)/'Статистика акций за год'!H233</f>
        <v>1.2528473804100325E-2</v>
      </c>
      <c r="I232" s="12">
        <f>('Статистика акций за год'!I232-'Статистика акций за год'!I233)/'Статистика акций за год'!I233</f>
        <v>-1.4765536264805954E-2</v>
      </c>
      <c r="J232" s="12">
        <f>('Статистика акций за год'!J232-'Статистика акций за год'!J233)/'Статистика акций за год'!J233</f>
        <v>-1.128145791148388E-2</v>
      </c>
      <c r="K232" s="12">
        <f>('Статистика акций за год'!K232-'Статистика акций за год'!K233)/'Статистика акций за год'!K233</f>
        <v>-2.1074928741556392E-2</v>
      </c>
      <c r="L232" s="17">
        <v>7.3999999999999996E-2</v>
      </c>
      <c r="M232" s="50">
        <f t="shared" si="3"/>
        <v>1.9560815915586893E-4</v>
      </c>
    </row>
    <row r="233" spans="1:13" x14ac:dyDescent="0.25">
      <c r="A233" s="6">
        <v>44942</v>
      </c>
      <c r="B233" s="12">
        <f>('Статистика акций за год'!B233-'Статистика акций за год'!B234)/'Статистика акций за год'!B234</f>
        <v>3.9739884393063633E-2</v>
      </c>
      <c r="C233" s="12">
        <f>('Статистика акций за год'!C233-'Статистика акций за год'!C234)/'Статистика акций за год'!C234</f>
        <v>7.5352455031599966E-3</v>
      </c>
      <c r="D233" s="12">
        <f>('Статистика акций за год'!D233-'Статистика акций за год'!D234)/'Статистика акций за год'!D234</f>
        <v>1.254180602006689E-2</v>
      </c>
      <c r="E233" s="12">
        <f>('Статистика акций за год'!E233-'Статистика акций за год'!E234)/'Статистика акций за год'!E234</f>
        <v>-7.2243895390839471E-4</v>
      </c>
      <c r="F233" s="12">
        <f>('Статистика акций за год'!F233-'Статистика акций за год'!F234)/'Статистика акций за год'!F234</f>
        <v>1.3316632605972776E-2</v>
      </c>
      <c r="G233" s="12">
        <f>('Статистика акций за год'!G233-'Статистика акций за год'!G234)/'Статистика акций за год'!G234</f>
        <v>-4.1580041580041582E-3</v>
      </c>
      <c r="H233" s="12">
        <f>('Статистика акций за год'!H233-'Статистика акций за год'!H234)/'Статистика акций за год'!H234</f>
        <v>2.7501462843768219E-2</v>
      </c>
      <c r="I233" s="12">
        <f>('Статистика акций за год'!I233-'Статистика акций за год'!I234)/'Статистика акций за год'!I234</f>
        <v>2.6140526140526026E-2</v>
      </c>
      <c r="J233" s="12">
        <f>('Статистика акций за год'!J233-'Статистика акций за год'!J234)/'Статистика акций за год'!J234</f>
        <v>8.6855819339899068E-4</v>
      </c>
      <c r="K233" s="12">
        <f>('Статистика акций за год'!K233-'Статистика акций за год'!K234)/'Статистика акций за год'!K234</f>
        <v>1.3895486935867059E-2</v>
      </c>
      <c r="L233" s="17">
        <v>7.4300000000000005E-2</v>
      </c>
      <c r="M233" s="50">
        <f t="shared" si="3"/>
        <v>1.9637348886036854E-4</v>
      </c>
    </row>
    <row r="234" spans="1:13" x14ac:dyDescent="0.25">
      <c r="A234" s="6">
        <v>44939</v>
      </c>
      <c r="B234" s="12">
        <f>('Статистика акций за год'!B234-'Статистика акций за год'!B235)/'Статистика акций за год'!B235</f>
        <v>5.8139534883720981E-3</v>
      </c>
      <c r="C234" s="12">
        <f>('Статистика акций за год'!C234-'Статистика акций за год'!C235)/'Статистика акций за год'!C235</f>
        <v>2.3755862825121203E-3</v>
      </c>
      <c r="D234" s="12">
        <f>('Статистика акций за год'!D234-'Статистика акций за год'!D235)/'Статистика акций за год'!D235</f>
        <v>8.3682008368196083E-4</v>
      </c>
      <c r="E234" s="12">
        <f>('Статистика акций за год'!E234-'Статистика акций за год'!E235)/'Статистика акций за год'!E235</f>
        <v>-2.3064725385613704E-3</v>
      </c>
      <c r="F234" s="12">
        <f>('Статистика акций за год'!F234-'Статистика акций за год'!F235)/'Статистика акций за год'!F235</f>
        <v>1.6008037508372312E-2</v>
      </c>
      <c r="G234" s="12">
        <f>('Статистика акций за год'!G234-'Статистика акций за год'!G235)/'Статистика акций за год'!G235</f>
        <v>4.1753653444676405E-3</v>
      </c>
      <c r="H234" s="12">
        <f>('Статистика акций за год'!H234-'Статистика акций за год'!H235)/'Статистика акций за год'!H235</f>
        <v>-2.3350846468184801E-3</v>
      </c>
      <c r="I234" s="12">
        <f>('Статистика акций за год'!I234-'Статистика акций за год'!I235)/'Статистика акций за год'!I235</f>
        <v>-3.8148946757338774E-3</v>
      </c>
      <c r="J234" s="12">
        <f>('Статистика акций за год'!J234-'Статистика акций за год'!J235)/'Статистика акций за год'!J235</f>
        <v>-2.89435600578937E-4</v>
      </c>
      <c r="K234" s="12">
        <f>('Статистика акций за год'!K234-'Статистика акций за год'!K235)/'Статистика акций за год'!K235</f>
        <v>-5.4530779376735601E-3</v>
      </c>
      <c r="L234" s="17">
        <v>7.4200000000000002E-2</v>
      </c>
      <c r="M234" s="50">
        <f t="shared" si="3"/>
        <v>1.9611840264288638E-4</v>
      </c>
    </row>
    <row r="235" spans="1:13" x14ac:dyDescent="0.25">
      <c r="A235" s="6">
        <v>44938</v>
      </c>
      <c r="B235" s="12">
        <f>('Статистика акций за год'!B235-'Статистика акций за год'!B236)/'Статистика акций за год'!B236</f>
        <v>-5.7803468208092535E-3</v>
      </c>
      <c r="C235" s="12">
        <f>('Статистика акций за год'!C235-'Статистика акций за год'!C236)/'Статистика акций за год'!C236</f>
        <v>-1.0010251462341102E-2</v>
      </c>
      <c r="D235" s="12">
        <f>('Статистика акций за год'!D235-'Статистика акций за год'!D236)/'Статистика акций за год'!D236</f>
        <v>-4.1666666666666666E-3</v>
      </c>
      <c r="E235" s="12">
        <f>('Статистика акций за год'!E235-'Статистика акций за год'!E236)/'Статистика акций за год'!E236</f>
        <v>-1.4394702749388223E-3</v>
      </c>
      <c r="F235" s="12">
        <f>('Статистика акций за год'!F235-'Статистика акций за год'!F236)/'Статистика акций за год'!F236</f>
        <v>-4.4011736463056587E-3</v>
      </c>
      <c r="G235" s="12">
        <f>('Статистика акций за год'!G235-'Статистика акций за год'!G236)/'Статистика акций за год'!G236</f>
        <v>5.774278215223097E-3</v>
      </c>
      <c r="H235" s="12">
        <f>('Статистика акций за год'!H235-'Статистика акций за год'!H236)/'Статистика акций за год'!H236</f>
        <v>1.7543859649123471E-3</v>
      </c>
      <c r="I235" s="12">
        <f>('Статистика акций за год'!I235-'Статистика акций за год'!I236)/'Статистика акций за год'!I236</f>
        <v>-2.9766826525550985E-3</v>
      </c>
      <c r="J235" s="12">
        <f>('Статистика акций за год'!J235-'Статистика акций за год'!J236)/'Статистика акций за год'!J236</f>
        <v>-1.4450867052023121E-3</v>
      </c>
      <c r="K235" s="12">
        <f>('Статистика акций за год'!K235-'Статистика акций за год'!K236)/'Статистика акций за год'!K236</f>
        <v>1.3285192794877471E-2</v>
      </c>
      <c r="L235" s="17">
        <v>7.3899999999999993E-2</v>
      </c>
      <c r="M235" s="50">
        <f t="shared" si="3"/>
        <v>1.9535300187745186E-4</v>
      </c>
    </row>
    <row r="236" spans="1:13" x14ac:dyDescent="0.25">
      <c r="A236" s="6">
        <v>44937</v>
      </c>
      <c r="B236" s="12">
        <f>('Статистика акций за год'!B236-'Статистика акций за год'!B237)/'Статистика акций за год'!B237</f>
        <v>3.5928143712574884E-2</v>
      </c>
      <c r="C236" s="12">
        <f>('Статистика акций за год'!C236-'Статистика акций за год'!C237)/'Статистика акций за год'!C237</f>
        <v>2.3010487353485615E-2</v>
      </c>
      <c r="D236" s="12">
        <f>('Статистика акций за год'!D236-'Статистика акций за год'!D237)/'Статистика акций за год'!D237</f>
        <v>1.1378002528444958E-2</v>
      </c>
      <c r="E236" s="12">
        <f>('Статистика акций за год'!E236-'Статистика акций за год'!E237)/'Статистика акций за год'!E237</f>
        <v>-5.2897068847989032E-2</v>
      </c>
      <c r="F236" s="12">
        <f>('Статистика акций за год'!F236-'Статистика акций за год'!F237)/'Статистика акций за год'!F237</f>
        <v>5.0066521952244279E-2</v>
      </c>
      <c r="G236" s="12">
        <f>('Статистика акций за год'!G236-'Статистика акций за год'!G237)/'Статистика акций за год'!G237</f>
        <v>2.1041557075223566E-3</v>
      </c>
      <c r="H236" s="12">
        <f>('Статистика акций за год'!H236-'Статистика акций за год'!H237)/'Статистика акций за год'!H237</f>
        <v>6.4743967039434629E-3</v>
      </c>
      <c r="I236" s="12">
        <f>('Статистика акций за год'!I236-'Статистика акций за год'!I237)/'Статистика акций за год'!I237</f>
        <v>8.3375020843755206E-3</v>
      </c>
      <c r="J236" s="12">
        <f>('Статистика акций за год'!J236-'Статистика акций за год'!J237)/'Статистика акций за год'!J237</f>
        <v>8.6780445472956717E-4</v>
      </c>
      <c r="K236" s="12">
        <f>('Статистика акций за год'!K236-'Статистика акций за год'!K237)/'Статистика акций за год'!K237</f>
        <v>2.8845265825902262E-2</v>
      </c>
      <c r="L236" s="17">
        <v>7.3599999999999999E-2</v>
      </c>
      <c r="M236" s="50">
        <f t="shared" si="3"/>
        <v>1.9458738784905449E-4</v>
      </c>
    </row>
    <row r="237" spans="1:13" x14ac:dyDescent="0.25">
      <c r="A237" s="6">
        <v>44936</v>
      </c>
      <c r="B237" s="12">
        <f>('Статистика акций за год'!B237-'Статистика акций за год'!B238)/'Статистика акций за год'!B238</f>
        <v>2.4539877300613522E-2</v>
      </c>
      <c r="C237" s="12">
        <f>('Статистика акций за год'!C237-'Статистика акций за год'!C238)/'Статистика акций за год'!C238</f>
        <v>-3.749001290639872E-3</v>
      </c>
      <c r="D237" s="12">
        <f>('Статистика акций за год'!D237-'Статистика акций за год'!D238)/'Статистика акций за год'!D238</f>
        <v>-1.6827934371054997E-3</v>
      </c>
      <c r="E237" s="12">
        <f>('Статистика акций за год'!E237-'Статистика акций за год'!E238)/'Статистика акций за год'!E238</f>
        <v>-3.2613126783530063E-3</v>
      </c>
      <c r="F237" s="12">
        <f>('Статистика акций за год'!F237-'Статистика акций за год'!F238)/'Статистика акций за год'!F238</f>
        <v>2.8792134831460434E-3</v>
      </c>
      <c r="G237" s="12">
        <f>('Статистика акций за год'!G237-'Статистика акций за год'!G238)/'Статистика акций за год'!G238</f>
        <v>-1.2980269989615784E-2</v>
      </c>
      <c r="H237" s="12">
        <f>('Статистика акций за год'!H237-'Статистика акций за год'!H238)/'Статистика акций за год'!H238</f>
        <v>-3.5190615835776792E-3</v>
      </c>
      <c r="I237" s="12">
        <f>('Статистика акций за год'!I237-'Статистика акций за год'!I238)/'Статистика акций за год'!I238</f>
        <v>-6.6655557407095027E-4</v>
      </c>
      <c r="J237" s="12">
        <f>('Статистика акций за год'!J237-'Статистика акций за год'!J238)/'Статистика акций за год'!J238</f>
        <v>-2.8843380444188061E-3</v>
      </c>
      <c r="K237" s="12">
        <f>('Статистика акций за год'!K237-'Статистика акций за год'!K238)/'Статистика акций за год'!K238</f>
        <v>-3.3545035232513862E-3</v>
      </c>
      <c r="L237" s="17">
        <v>7.4300000000000005E-2</v>
      </c>
      <c r="M237" s="50">
        <f t="shared" si="3"/>
        <v>1.9637348886036854E-4</v>
      </c>
    </row>
    <row r="238" spans="1:13" x14ac:dyDescent="0.25">
      <c r="A238" s="6">
        <v>44935</v>
      </c>
      <c r="B238" s="12">
        <f>('Статистика акций за год'!B238-'Статистика акций за год'!B239)/'Статистика акций за год'!B239</f>
        <v>2.4351924587588274E-2</v>
      </c>
      <c r="C238" s="12">
        <f>('Статистика акций за год'!C238-'Статистика акций за год'!C239)/'Статистика акций за год'!C239</f>
        <v>3.7631091918569628E-3</v>
      </c>
      <c r="D238" s="12">
        <f>('Статистика акций за год'!D238-'Статистика акций за год'!D239)/'Статистика акций за год'!D239</f>
        <v>5.0739957716701423E-3</v>
      </c>
      <c r="E238" s="12">
        <f>('Статистика акций за год'!E238-'Статистика акций за год'!E239)/'Статистика акций за год'!E239</f>
        <v>1.7696705690170903E-3</v>
      </c>
      <c r="F238" s="12">
        <f>('Статистика акций за год'!F238-'Статистика акций за год'!F239)/'Статистика акций за год'!F239</f>
        <v>7.0721357850070717E-3</v>
      </c>
      <c r="G238" s="12">
        <f>('Статистика акций за год'!G238-'Статистика акций за год'!G239)/'Статистика акций за год'!G239</f>
        <v>9.9632931305715777E-3</v>
      </c>
      <c r="H238" s="12">
        <f>('Статистика акций за год'!H238-'Статистика акций за год'!H239)/'Статистика акций за год'!H239</f>
        <v>2.0958083832335328E-2</v>
      </c>
      <c r="I238" s="12">
        <f>('Статистика акций за год'!I238-'Статистика акций за год'!I239)/'Статистика акций за год'!I239</f>
        <v>-3.8180610889773483E-3</v>
      </c>
      <c r="J238" s="12">
        <f>('Статистика акций за год'!J238-'Статистика акций за год'!J239)/'Статистика акций за год'!J239</f>
        <v>-1.1123787792356057E-2</v>
      </c>
      <c r="K238" s="12">
        <f>('Статистика акций за год'!K238-'Статистика акций за год'!K239)/'Статистика акций за год'!K239</f>
        <v>3.7189863481590639E-2</v>
      </c>
      <c r="L238" s="17">
        <v>7.3499999999999996E-2</v>
      </c>
      <c r="M238" s="50">
        <f t="shared" si="3"/>
        <v>1.943321357604777E-4</v>
      </c>
    </row>
    <row r="239" spans="1:13" x14ac:dyDescent="0.25">
      <c r="A239" s="6">
        <v>44932</v>
      </c>
      <c r="B239" s="12">
        <f>('Статистика акций за год'!B239-'Статистика акций за год'!B240)/'Статистика акций за год'!B240</f>
        <v>-5.4687500000000222E-3</v>
      </c>
      <c r="C239" s="12">
        <f>('Статистика акций за год'!C239-'Статистика акций за год'!C240)/'Статистика акций за год'!C240</f>
        <v>5.5831265508685217E-3</v>
      </c>
      <c r="D239" s="12">
        <f>('Статистика акций за год'!D239-'Статистика акций за год'!D240)/'Статистика акций за год'!D240</f>
        <v>1.4821088291340008E-3</v>
      </c>
      <c r="E239" s="12">
        <f>('Статистика акций за год'!E239-'Статистика акций за год'!E240)/'Статистика акций за год'!E240</f>
        <v>-5.4421768707479902E-4</v>
      </c>
      <c r="F239" s="12">
        <f>('Статистика акций за год'!F239-'Статистика акций за год'!F240)/'Статистика акций за год'!F240</f>
        <v>9.2022368514189457E-4</v>
      </c>
      <c r="G239" s="12">
        <f>('Статистика акций за год'!G239-'Статистика акций за год'!G240)/'Статистика акций за год'!G240</f>
        <v>-3.6572622779519333E-3</v>
      </c>
      <c r="H239" s="12">
        <f>('Статистика акций за год'!H239-'Статистика акций за год'!H240)/'Статистика акций за год'!H240</f>
        <v>-1.591043017088974E-2</v>
      </c>
      <c r="I239" s="12">
        <f>('Статистика акций за год'!I239-'Статистика акций за год'!I240)/'Статистика акций за год'!I240</f>
        <v>-4.1329145313274921E-3</v>
      </c>
      <c r="J239" s="12">
        <f>('Статистика акций за год'!J239-'Статистика акций за год'!J240)/'Статистика акций за год'!J240</f>
        <v>3.4344590726961806E-3</v>
      </c>
      <c r="K239" s="12">
        <f>('Статистика акций за год'!K239-'Статистика акций за год'!K240)/'Статистика акций за год'!K240</f>
        <v>1.9981931232396187E-3</v>
      </c>
      <c r="L239" s="17">
        <v>7.0300000000000001E-2</v>
      </c>
      <c r="M239" s="50">
        <f t="shared" si="3"/>
        <v>1.8615152406753488E-4</v>
      </c>
    </row>
    <row r="240" spans="1:13" x14ac:dyDescent="0.25">
      <c r="A240" s="6">
        <v>44931</v>
      </c>
      <c r="B240" s="12">
        <f>('Статистика акций за год'!B240-'Статистика акций за год'!B241)/'Статистика акций за год'!B241</f>
        <v>2.2364217252396259E-2</v>
      </c>
      <c r="C240" s="12">
        <f>('Статистика акций за год'!C240-'Статистика акций за год'!C241)/'Статистика акций за год'!C241</f>
        <v>-8.061042397390944E-3</v>
      </c>
      <c r="D240" s="12">
        <f>('Статистика акций за год'!D240-'Статистика акций за год'!D241)/'Статистика акций за год'!D241</f>
        <v>-1.4799154334037814E-3</v>
      </c>
      <c r="E240" s="12">
        <f>('Статистика акций за год'!E240-'Статистика акций за год'!E241)/'Статистика акций за год'!E241</f>
        <v>4.6473482777473719E-3</v>
      </c>
      <c r="F240" s="12">
        <f>('Статистика акций за год'!F240-'Статистика акций за год'!F241)/'Статистика акций за год'!F241</f>
        <v>-1.1313017040231676E-3</v>
      </c>
      <c r="G240" s="12">
        <f>('Статистика акций за год'!G240-'Статистика акций за год'!G241)/'Статистика акций за год'!G241</f>
        <v>-5.1975051975051978E-3</v>
      </c>
      <c r="H240" s="12">
        <f>('Статистика акций за год'!H240-'Статистика акций за год'!H241)/'Статистика акций за год'!H241</f>
        <v>-2.1902017291066347E-2</v>
      </c>
      <c r="I240" s="12">
        <f>('Статистика акций за год'!I240-'Статистика акций за год'!I241)/'Статистика акций за год'!I241</f>
        <v>-3.4596375617792796E-3</v>
      </c>
      <c r="J240" s="12">
        <f>('Статистика акций за год'!J240-'Статистика акций за год'!J241)/'Статистика акций за год'!J241</f>
        <v>-3.9908779931585921E-3</v>
      </c>
      <c r="K240" s="12">
        <f>('Статистика акций за год'!K240-'Статистика акций за год'!K241)/'Статистика акций за год'!K241</f>
        <v>-9.5377456811697372E-3</v>
      </c>
      <c r="L240" s="17">
        <v>7.0599999999999996E-2</v>
      </c>
      <c r="M240" s="50">
        <f t="shared" si="3"/>
        <v>1.8691949186644408E-4</v>
      </c>
    </row>
    <row r="241" spans="1:13" x14ac:dyDescent="0.25">
      <c r="A241" s="6">
        <v>44930</v>
      </c>
      <c r="B241" s="12">
        <f>('Статистика акций за год'!B241-'Статистика акций за год'!B242)/'Статистика акций за год'!B242</f>
        <v>1.6233766233766177E-2</v>
      </c>
      <c r="C241" s="12">
        <f>('Статистика акций за год'!C241-'Статистика акций за год'!C242)/'Статистика акций за год'!C242</f>
        <v>-6.1766144814091196E-3</v>
      </c>
      <c r="D241" s="12">
        <f>('Статистика акций за год'!D241-'Статистика акций за год'!D242)/'Статистика акций за год'!D242</f>
        <v>4.8863394943701116E-3</v>
      </c>
      <c r="E241" s="12">
        <f>('Статистика акций за год'!E241-'Статистика акций за год'!E242)/'Статистика акций за год'!E242</f>
        <v>-6.1132998233935608E-3</v>
      </c>
      <c r="F241" s="12">
        <f>('Статистика акций за год'!F241-'Статистика акций за год'!F242)/'Статистика акций за год'!F242</f>
        <v>-2.4686133446183826E-3</v>
      </c>
      <c r="G241" s="12">
        <f>('Статистика акций за год'!G241-'Статистика акций за год'!G242)/'Статистика акций за год'!G242</f>
        <v>-4.6559751681324365E-3</v>
      </c>
      <c r="H241" s="12">
        <f>('Статистика акций за год'!H241-'Статистика акций за год'!H242)/'Статистика акций за год'!H242</f>
        <v>4.3922984356197424E-2</v>
      </c>
      <c r="I241" s="12">
        <f>('Статистика акций за год'!I241-'Статистика акций за год'!I242)/'Статистика акций за год'!I242</f>
        <v>4.6342270771267038E-3</v>
      </c>
      <c r="J241" s="12">
        <f>('Статистика акций за год'!J241-'Статистика акций за год'!J242)/'Статистика акций за год'!J242</f>
        <v>-2.2753128555176656E-3</v>
      </c>
      <c r="K241" s="12">
        <f>('Статистика акций за год'!K241-'Статистика акций за год'!K242)/'Статистика акций за год'!K242</f>
        <v>-1.3674876438094521E-2</v>
      </c>
      <c r="L241" s="17">
        <v>7.0300000000000001E-2</v>
      </c>
      <c r="M241" s="50">
        <f t="shared" si="3"/>
        <v>1.8615152406753488E-4</v>
      </c>
    </row>
    <row r="242" spans="1:13" x14ac:dyDescent="0.25">
      <c r="A242" s="6">
        <v>44929</v>
      </c>
      <c r="B242" s="12">
        <f>('Статистика акций за год'!B242-'Статистика акций за год'!B243)/'Статистика акций за год'!B243</f>
        <v>1.6260162601625669E-3</v>
      </c>
      <c r="C242" s="12">
        <f>('Статистика акций за год'!C242-'Статистика акций за год'!C243)/'Статистика акций за год'!C243</f>
        <v>5.9055118110236705E-3</v>
      </c>
      <c r="D242" s="12">
        <f>('Статистика акций за год'!D242-'Статистика акций за год'!D243)/'Статистика акций за год'!D243</f>
        <v>-4.4416243654822815E-3</v>
      </c>
      <c r="E242" s="12">
        <f>('Статистика акций за год'!E242-'Статистика акций за год'!E243)/'Статистика акций за год'!E243</f>
        <v>7.252326217843553E-3</v>
      </c>
      <c r="F242" s="12">
        <f>('Статистика акций за год'!F242-'Статистика акций за год'!F243)/'Статистика акций за год'!F243</f>
        <v>4.4633368756641549E-3</v>
      </c>
      <c r="G242" s="12">
        <f>('Статистика акций за год'!G242-'Статистика акций за год'!G243)/'Статистика акций за год'!G243</f>
        <v>2.6553372278279343E-2</v>
      </c>
      <c r="H242" s="12">
        <f>('Статистика акций за год'!H242-'Статистика акций за год'!H243)/'Статистика акций за год'!H243</f>
        <v>3.422526446795271E-2</v>
      </c>
      <c r="I242" s="12">
        <f>('Статистика акций за год'!I242-'Статистика акций за год'!I243)/'Статистика акций за год'!I243</f>
        <v>2.8215767634855527E-3</v>
      </c>
      <c r="J242" s="12">
        <f>('Статистика акций за год'!J242-'Статистика акций за год'!J243)/'Статистика акций за год'!J243</f>
        <v>8.8952654232425325E-3</v>
      </c>
      <c r="K242" s="12">
        <f>('Статистика акций за год'!K242-'Статистика акций за год'!K243)/'Статистика акций за год'!K243</f>
        <v>-7.7477848753348252E-3</v>
      </c>
      <c r="L242" s="17">
        <v>7.0099999999999996E-2</v>
      </c>
      <c r="M242" s="50">
        <f t="shared" si="3"/>
        <v>1.856394262655936E-4</v>
      </c>
    </row>
    <row r="243" spans="1:13" x14ac:dyDescent="0.25">
      <c r="A243" s="6">
        <v>44925</v>
      </c>
      <c r="B243" s="12">
        <f>('Статистика акций за год'!B243-'Статистика акций за год'!B244)/'Статистика акций за год'!B244</f>
        <v>1.6286644951141165E-3</v>
      </c>
      <c r="C243" s="12">
        <f>('Статистика акций за год'!C243-'Статистика акций за год'!C244)/'Статистика акций за год'!C244</f>
        <v>-2.1484255110183191E-3</v>
      </c>
      <c r="D243" s="12">
        <f>('Статистика акций за год'!D243-'Статистика акций за год'!D244)/'Статистика акций за год'!D244</f>
        <v>7.0287539936102475E-3</v>
      </c>
      <c r="E243" s="12">
        <f>('Статистика акций за год'!E243-'Статистика акций за год'!E244)/'Статистика акций за год'!E244</f>
        <v>1.6129032258064387E-2</v>
      </c>
      <c r="F243" s="12">
        <f>('Статистика акций за год'!F243-'Статистика акций за год'!F244)/'Статистика акций за год'!F244</f>
        <v>1.3479001135073617E-3</v>
      </c>
      <c r="G243" s="12">
        <f>('Статистика акций за год'!G243-'Статистика акций за год'!G244)/'Статистика акций за год'!G244</f>
        <v>1.5957446808510637E-3</v>
      </c>
      <c r="H243" s="12">
        <f>('Статистика акций за год'!H243-'Статистика акций за год'!H244)/'Статистика акций за год'!H244</f>
        <v>-3.1017369727047149E-3</v>
      </c>
      <c r="I243" s="12">
        <f>('Статистика акций за год'!I243-'Статистика акций за год'!I244)/'Статистика акций за год'!I244</f>
        <v>-1.1604774535809771E-3</v>
      </c>
      <c r="J243" s="12">
        <f>('Статистика акций за год'!J243-'Статистика акций за год'!J244)/'Статистика акций за год'!J244</f>
        <v>-1.4326647564469914E-3</v>
      </c>
      <c r="K243" s="12">
        <f>('Статистика акций за год'!K243-'Статистика акций за год'!K244)/'Статистика акций за год'!K244</f>
        <v>3.6080273270708868E-2</v>
      </c>
      <c r="L243" s="17">
        <v>7.2499999999999995E-2</v>
      </c>
      <c r="M243" s="50">
        <f t="shared" si="3"/>
        <v>1.9177830990391165E-4</v>
      </c>
    </row>
    <row r="244" spans="1:13" x14ac:dyDescent="0.25">
      <c r="A244" s="6">
        <v>44924</v>
      </c>
      <c r="B244" s="12">
        <f>('Статистика акций за год'!B244-'Статистика акций за год'!B245)/'Статистика акций за год'!B245</f>
        <v>1.5715467328370512E-2</v>
      </c>
      <c r="C244" s="12">
        <f>('Статистика акций за год'!C244-'Статистика акций за год'!C245)/'Статистика акций за год'!C245</f>
        <v>6.7358793721419077E-3</v>
      </c>
      <c r="D244" s="12">
        <f>('Статистика акций за год'!D244-'Статистика акций за год'!D245)/'Статистика акций за год'!D245</f>
        <v>1.2289780077619638E-2</v>
      </c>
      <c r="E244" s="12">
        <f>('Статистика акций за год'!E244-'Статистика акций за год'!E245)/'Статистика акций за год'!E245</f>
        <v>1.2672486623486341E-2</v>
      </c>
      <c r="F244" s="12">
        <f>('Статистика акций за год'!F244-'Статистика акций за год'!F245)/'Статистика акций за год'!F245</f>
        <v>1.0393520177765158E-2</v>
      </c>
      <c r="G244" s="12">
        <f>('Статистика акций за год'!G244-'Статистика акций за год'!G245)/'Статистика акций за год'!G245</f>
        <v>-1.5932023366967605E-3</v>
      </c>
      <c r="H244" s="12">
        <f>('Статистика акций за год'!H244-'Статистика акций за год'!H245)/'Статистика акций за год'!H245</f>
        <v>6.8707058088694215E-3</v>
      </c>
      <c r="I244" s="12">
        <f>('Статистика акций за год'!I244-'Статистика акций за год'!I245)/'Статистика акций за год'!I245</f>
        <v>1.826939046670026E-3</v>
      </c>
      <c r="J244" s="12">
        <f>('Статистика акций за год'!J244-'Статистика акций за год'!J245)/'Статистика акций за год'!J245</f>
        <v>6.3437139561706704E-3</v>
      </c>
      <c r="K244" s="12">
        <f>('Статистика акций за год'!K244-'Статистика акций за год'!K245)/'Статистика акций за год'!K245</f>
        <v>3.2556545579163422E-3</v>
      </c>
      <c r="L244" s="17">
        <v>7.4200000000000002E-2</v>
      </c>
      <c r="M244" s="50">
        <f t="shared" si="3"/>
        <v>1.9611840264288638E-4</v>
      </c>
    </row>
    <row r="245" spans="1:13" x14ac:dyDescent="0.25">
      <c r="A245" s="6">
        <v>44923</v>
      </c>
      <c r="B245" s="12">
        <f>('Статистика акций за год'!B245-'Статистика акций за год'!B246)/'Статистика акций за год'!B246</f>
        <v>-5.7565789473684442E-3</v>
      </c>
      <c r="C245" s="12">
        <f>('Статистика акций за год'!C245-'Статистика акций за год'!C246)/'Статистика акций за год'!C246</f>
        <v>-1.3713658804168952E-2</v>
      </c>
      <c r="D245" s="12">
        <f>('Статистика акций за год'!D245-'Статистика акций за год'!D246)/'Статистика акций за год'!D246</f>
        <v>9.138381201044361E-3</v>
      </c>
      <c r="E245" s="12">
        <f>('Статистика акций за год'!E245-'Статистика акций за год'!E246)/'Статистика акций за год'!E246</f>
        <v>-9.8466732311145279E-4</v>
      </c>
      <c r="F245" s="12">
        <f>('Статистика акций за год'!F245-'Статистика акций за год'!F246)/'Статистика акций за год'!F246</f>
        <v>-2.7877055039314852E-3</v>
      </c>
      <c r="G245" s="12">
        <f>('Статистика акций за год'!G245-'Статистика акций за год'!G246)/'Статистика акций за год'!G246</f>
        <v>-2.1197668256491787E-3</v>
      </c>
      <c r="H245" s="12">
        <f>('Статистика акций за год'!H245-'Статистика акций за год'!H246)/'Статистика акций за год'!H246</f>
        <v>-1.3555144793592218E-2</v>
      </c>
      <c r="I245" s="12">
        <f>('Статистика акций за год'!I245-'Статистика акций за год'!I246)/'Статистика акций за год'!I246</f>
        <v>7.8674255105457749E-3</v>
      </c>
      <c r="J245" s="12">
        <f>('Статистика акций за год'!J245-'Статистика акций за год'!J246)/'Статистика акций за год'!J246</f>
        <v>-6.0189165950128003E-3</v>
      </c>
      <c r="K245" s="12">
        <f>('Статистика акций за год'!K245-'Статистика акций за год'!K246)/'Статистика акций за год'!K246</f>
        <v>-2.7849788133387472E-2</v>
      </c>
      <c r="L245" s="17">
        <v>7.5200000000000003E-2</v>
      </c>
      <c r="M245" s="50">
        <f t="shared" si="3"/>
        <v>1.9866819982228279E-4</v>
      </c>
    </row>
    <row r="246" spans="1:13" x14ac:dyDescent="0.25">
      <c r="A246" s="6">
        <v>44922</v>
      </c>
      <c r="B246" s="12">
        <f>('Статистика акций за год'!B246-'Статистика акций за год'!B247)/'Статистика акций за год'!B247</f>
        <v>-5.7236304170073821E-3</v>
      </c>
      <c r="C246" s="12">
        <f>('Статистика акций за год'!C246-'Статистика акций за год'!C247)/'Статистика акций за год'!C247</f>
        <v>1.2028127313101336E-2</v>
      </c>
      <c r="D246" s="12">
        <f>('Статистика акций за год'!D246-'Статистика акций за год'!D247)/'Статистика акций за год'!D247</f>
        <v>3.931847968545241E-3</v>
      </c>
      <c r="E246" s="12">
        <f>('Статистика акций за год'!E246-'Статистика акций за год'!E247)/'Статистика акций за год'!E247</f>
        <v>8.654937570942144E-3</v>
      </c>
      <c r="F246" s="12">
        <f>('Статистика акций за год'!F246-'Статистика акций за год'!F247)/'Статистика акций за год'!F247</f>
        <v>-7.4494501596309541E-3</v>
      </c>
      <c r="G246" s="12">
        <f>('Статистика акций за год'!G246-'Статистика акций за год'!G247)/'Статистика акций за год'!G247</f>
        <v>2.3874118285404231E-2</v>
      </c>
      <c r="H246" s="12">
        <f>('Статистика акций за год'!H246-'Статистика акций за год'!H247)/'Статистика акций за год'!H247</f>
        <v>-3.6832412523019908E-3</v>
      </c>
      <c r="I246" s="12">
        <f>('Статистика акций за год'!I246-'Статистика акций за год'!I247)/'Статистика акций за год'!I247</f>
        <v>-8.9581950895819135E-3</v>
      </c>
      <c r="J246" s="12">
        <f>('Статистика акций за год'!J246-'Статистика акций за год'!J247)/'Статистика акций за год'!J247</f>
        <v>-5.4161915621437689E-3</v>
      </c>
      <c r="K246" s="12">
        <f>('Статистика акций за год'!K246-'Статистика акций за год'!K247)/'Статистика акций за год'!K247</f>
        <v>-1.7169929089625367E-2</v>
      </c>
      <c r="L246" s="17">
        <v>7.5499999999999998E-2</v>
      </c>
      <c r="M246" s="50">
        <f t="shared" si="3"/>
        <v>1.9943267782185359E-4</v>
      </c>
    </row>
    <row r="247" spans="1:13" x14ac:dyDescent="0.25">
      <c r="A247" s="6">
        <v>44921</v>
      </c>
      <c r="B247" s="12">
        <f>('Статистика акций за год'!B247-'Статистика акций за год'!B248)/'Статистика акций за год'!B248</f>
        <v>9.9091659785302232E-3</v>
      </c>
      <c r="C247" s="12">
        <f>('Статистика акций за год'!C247-'Статистика акций за год'!C248)/'Статистика акций за год'!C248</f>
        <v>7.6449748275220228E-3</v>
      </c>
      <c r="D247" s="12">
        <f>('Статистика акций за год'!D247-'Статистика акций за год'!D248)/'Статистика акций за год'!D248</f>
        <v>8.370044052863462E-3</v>
      </c>
      <c r="E247" s="12">
        <f>('Статистика акций за год'!E247-'Статистика акций за год'!E248)/'Статистика акций за год'!E248</f>
        <v>2.6507427905621803E-2</v>
      </c>
      <c r="F247" s="12">
        <f>('Статистика акций за год'!F247-'Статистика акций за год'!F248)/'Статистика акций за год'!F248</f>
        <v>2.1821081629694004E-2</v>
      </c>
      <c r="G247" s="12">
        <f>('Статистика акций за год'!G247-'Статистика акций за год'!G248)/'Статистика акций за год'!G248</f>
        <v>-8.0731969860064583E-3</v>
      </c>
      <c r="H247" s="12">
        <f>('Статистика акций за год'!H247-'Статистика акций за год'!H248)/'Статистика акций за год'!H248</f>
        <v>-9.7264437689969264E-3</v>
      </c>
      <c r="I247" s="12">
        <f>('Статистика акций за год'!I247-'Статистика акций за год'!I248)/'Статистика акций за год'!I248</f>
        <v>8.3640013382402147E-3</v>
      </c>
      <c r="J247" s="12">
        <f>('Статистика акций за год'!J247-'Статистика акций за год'!J248)/'Статистика акций за год'!J248</f>
        <v>4.0068689181454896E-3</v>
      </c>
      <c r="K247" s="12">
        <f>('Статистика акций за год'!K247-'Статистика акций за год'!K248)/'Статистика акций за год'!K248</f>
        <v>1.4301875434608849E-2</v>
      </c>
      <c r="L247" s="17">
        <v>7.4200000000000002E-2</v>
      </c>
      <c r="M247" s="50">
        <f t="shared" si="3"/>
        <v>1.9611840264288638E-4</v>
      </c>
    </row>
    <row r="248" spans="1:13" x14ac:dyDescent="0.25">
      <c r="A248" s="6">
        <v>44918</v>
      </c>
      <c r="B248" s="12">
        <f>('Статистика акций за год'!B248-'Статистика акций за год'!B249)/'Статистика акций за год'!B249</f>
        <v>1.6542597187758125E-3</v>
      </c>
      <c r="C248" s="12">
        <f>('Статистика акций за год'!C248-'Статистика акций за год'!C249)/'Статистика акций за год'!C249</f>
        <v>1.8613485280151935E-2</v>
      </c>
      <c r="D248" s="12">
        <f>('Статистика акций за год'!D248-'Статистика акций за год'!D249)/'Статистика акций за год'!D249</f>
        <v>0</v>
      </c>
      <c r="E248" s="12">
        <f>('Статистика акций за год'!E248-'Статистика акций за год'!E249)/'Статистика акций за год'!E249</f>
        <v>-4.0615027560196616E-3</v>
      </c>
      <c r="F248" s="12">
        <f>('Статистика акций за год'!F248-'Статистика акций за год'!F249)/'Статистика акций за год'!F249</f>
        <v>1.8156728883724309E-3</v>
      </c>
      <c r="G248" s="12">
        <f>('Статистика акций за год'!G248-'Статистика акций за год'!G249)/'Статистика акций за год'!G249</f>
        <v>5.411255411255411E-3</v>
      </c>
      <c r="H248" s="12">
        <f>('Статистика акций за год'!H248-'Статистика акций за год'!H249)/'Статистика акций за год'!H249</f>
        <v>1.1063306699446905E-2</v>
      </c>
      <c r="I248" s="12">
        <f>('Статистика акций за год'!I248-'Статистика акций за год'!I249)/'Статистика акций за год'!I249</f>
        <v>-5.9860325906219199E-3</v>
      </c>
      <c r="J248" s="12">
        <f>('Статистика акций за год'!J248-'Статистика акций за год'!J249)/'Статистика акций за год'!J249</f>
        <v>-3.1383737517832319E-3</v>
      </c>
      <c r="K248" s="12">
        <f>('Статистика акций за год'!K248-'Статистика акций за год'!K249)/'Статистика акций за год'!K249</f>
        <v>-6.3834175518202065E-3</v>
      </c>
      <c r="L248" s="17">
        <v>7.4099999999999999E-2</v>
      </c>
      <c r="M248" s="50">
        <f t="shared" si="3"/>
        <v>1.9586329274301484E-4</v>
      </c>
    </row>
    <row r="249" spans="1:13" x14ac:dyDescent="0.25">
      <c r="A249" s="6">
        <v>44917</v>
      </c>
      <c r="B249" s="12">
        <f>('Статистика акций за год'!B249-'Статистика акций за год'!B250)/'Статистика акций за год'!B250</f>
        <v>4.9875311720698669E-3</v>
      </c>
      <c r="C249" s="12">
        <f>('Статистика акций за год'!C249-'Статистика акций за год'!C250)/'Статистика акций за год'!C250</f>
        <v>2.2844089091946522E-3</v>
      </c>
      <c r="D249" s="12">
        <f>('Статистика акций за год'!D249-'Статистика акций за год'!D250)/'Статистика акций за год'!D250</f>
        <v>1.1135857461024499E-2</v>
      </c>
      <c r="E249" s="12">
        <f>('Статистика акций за год'!E249-'Статистика акций за год'!E250)/'Статистика акций за год'!E250</f>
        <v>-1.4484356894553883E-3</v>
      </c>
      <c r="F249" s="12">
        <f>('Статистика акций за год'!F249-'Статистика акций за год'!F250)/'Статистика акций за год'!F250</f>
        <v>-4.355716878403069E-4</v>
      </c>
      <c r="G249" s="12">
        <f>('Статистика акций за год'!G249-'Статистика акций за год'!G250)/'Статистика акций за год'!G250</f>
        <v>2.7129679869777536E-3</v>
      </c>
      <c r="H249" s="12">
        <f>('Статистика акций за год'!H249-'Статистика акций за год'!H250)/'Статистика акций за год'!H250</f>
        <v>9.305210918114145E-3</v>
      </c>
      <c r="I249" s="12">
        <f>('Статистика акций за год'!I249-'Статистика акций за год'!I250)/'Статистика акций за год'!I250</f>
        <v>5.1813471502591057E-3</v>
      </c>
      <c r="J249" s="12">
        <f>('Статистика акций за год'!J249-'Статистика акций за год'!J250)/'Статистика акций за год'!J250</f>
        <v>-1.7089148390772506E-3</v>
      </c>
      <c r="K249" s="12">
        <f>('Статистика акций за год'!K249-'Статистика акций за год'!K250)/'Статистика акций за год'!K250</f>
        <v>3.1562822463112955E-2</v>
      </c>
      <c r="L249" s="17">
        <v>7.3499999999999996E-2</v>
      </c>
      <c r="M249" s="50">
        <f t="shared" si="3"/>
        <v>1.943321357604777E-4</v>
      </c>
    </row>
    <row r="250" spans="1:13" x14ac:dyDescent="0.25">
      <c r="A250" s="6">
        <v>44916</v>
      </c>
      <c r="B250" s="12">
        <f>('Статистика акций за год'!B250-'Статистика акций за год'!B251)/'Статистика акций за год'!B251</f>
        <v>-2.4875621890548204E-3</v>
      </c>
      <c r="C250" s="12">
        <f>('Статистика акций за год'!C250-'Статистика акций за год'!C251)/'Статистика акций за год'!C251</f>
        <v>-8.4937712344280505E-3</v>
      </c>
      <c r="D250" s="12">
        <f>('Статистика акций за год'!D250-'Статистика акций за год'!D251)/'Статистика акций за год'!D251</f>
        <v>-1.2969883490877066E-2</v>
      </c>
      <c r="E250" s="12">
        <f>('Статистика акций за год'!E250-'Статистика акций за год'!E251)/'Статистика акций за год'!E251</f>
        <v>3.050995205578996E-3</v>
      </c>
      <c r="F250" s="12">
        <f>('Статистика акций за год'!F250-'Статистика акций за год'!F251)/'Статистика акций за год'!F251</f>
        <v>-3.8328030083887845E-3</v>
      </c>
      <c r="G250" s="12">
        <f>('Статистика акций за год'!G250-'Статистика акций за год'!G251)/'Статистика акций за год'!G251</f>
        <v>-2.7056277056277055E-3</v>
      </c>
      <c r="H250" s="12">
        <f>('Статистика акций за год'!H250-'Статистика акций за год'!H251)/'Статистика акций за год'!H251</f>
        <v>-9.8280098280099665E-3</v>
      </c>
      <c r="I250" s="12">
        <f>('Статистика акций за год'!I250-'Статистика акций за год'!I251)/'Статистика акций за год'!I251</f>
        <v>1.5065282892533936E-3</v>
      </c>
      <c r="J250" s="12">
        <f>('Статистика акций за год'!J250-'Статистика акций за год'!J251)/'Статистика акций за год'!J251</f>
        <v>-9.8702763677382954E-3</v>
      </c>
      <c r="K250" s="12">
        <f>('Статистика акций за год'!K250-'Статистика акций за год'!K251)/'Статистика акций за год'!K251</f>
        <v>-2.8131590918489761E-2</v>
      </c>
      <c r="L250" s="17">
        <v>7.3300000000000004E-2</v>
      </c>
      <c r="M250" s="50">
        <f t="shared" si="3"/>
        <v>1.9382156043867838E-4</v>
      </c>
    </row>
    <row r="251" spans="1:13" x14ac:dyDescent="0.25">
      <c r="A251" s="6">
        <v>44915</v>
      </c>
      <c r="B251" s="12">
        <f>('Статистика акций за год'!B251-'Статистика акций за год'!B252)/'Статистика акций за год'!B252</f>
        <v>7.5187969924811904E-3</v>
      </c>
      <c r="C251" s="12">
        <f>('Статистика акций за год'!C251-'Статистика акций за год'!C252)/'Статистика акций за год'!C252</f>
        <v>8.4385508533721468E-3</v>
      </c>
      <c r="D251" s="12">
        <f>('Статистика акций за год'!D251-'Статистика акций за год'!D252)/'Статистика акций за год'!D252</f>
        <v>1.6763522574877069E-2</v>
      </c>
      <c r="E251" s="12">
        <f>('Статистика акций за год'!E251-'Статистика акций за год'!E252)/'Статистика акций за год'!E252</f>
        <v>3.3483483483483414E-2</v>
      </c>
      <c r="F251" s="12">
        <f>('Статистика акций за год'!F251-'Статистика акций за год'!F252)/'Статистика акций за год'!F252</f>
        <v>2.7035056446821266E-2</v>
      </c>
      <c r="G251" s="12">
        <f>('Статистика акций за год'!G251-'Статистика акций за год'!G252)/'Статистика акций за год'!G252</f>
        <v>2.1691973969631237E-3</v>
      </c>
      <c r="H251" s="12">
        <f>('Статистика акций за год'!H251-'Статистика акций за год'!H252)/'Статистика акций за год'!H252</f>
        <v>2.4543738200125901E-2</v>
      </c>
      <c r="I251" s="12">
        <f>('Статистика акций за год'!I251-'Статистика акций за год'!I252)/'Статистика акций за год'!I252</f>
        <v>2.8050249526759514E-2</v>
      </c>
      <c r="J251" s="12">
        <f>('Статистика акций за год'!J251-'Статистика акций за год'!J252)/'Статистика акций за год'!J252</f>
        <v>1.7503586800573952E-2</v>
      </c>
      <c r="K251" s="12">
        <f>('Статистика акций за год'!K251-'Статистика акций за год'!K252)/'Статистика акций за год'!K252</f>
        <v>-2.4349896104420087E-2</v>
      </c>
      <c r="L251" s="17">
        <v>7.3499999999999996E-2</v>
      </c>
      <c r="M251" s="50">
        <f t="shared" si="3"/>
        <v>1.943321357604777E-4</v>
      </c>
    </row>
    <row r="252" spans="1:13" x14ac:dyDescent="0.25">
      <c r="A252" s="6">
        <v>44914</v>
      </c>
      <c r="B252" s="12">
        <f>('Статистика акций за год'!B252-'Статистика акций за год'!B253)/'Статистика акций за год'!B253</f>
        <v>-1.2376237623762261E-2</v>
      </c>
      <c r="C252" s="12">
        <f>('Статистика акций за год'!C252-'Статистика акций за год'!C253)/'Статистика акций за год'!C253</f>
        <v>-1.6412880678981497E-2</v>
      </c>
      <c r="D252" s="12">
        <f>('Статистика акций за год'!D252-'Статистика акций за год'!D253)/'Статистика акций за год'!D253</f>
        <v>-1.4103129131776188E-2</v>
      </c>
      <c r="E252" s="12">
        <f>('Статистика акций за год'!E252-'Статистика акций за год'!E253)/'Статистика акций за год'!E253</f>
        <v>6.3463281958296251E-3</v>
      </c>
      <c r="F252" s="12">
        <f>('Статистика акций за год'!F252-'Статистика акций за год'!F253)/'Статистика акций за год'!F253</f>
        <v>-5.9800664451827414E-3</v>
      </c>
      <c r="G252" s="12">
        <f>('Статистика акций за год'!G252-'Статистика акций за год'!G253)/'Статистика акций за год'!G253</f>
        <v>-7.5349838536060282E-3</v>
      </c>
      <c r="H252" s="12">
        <f>('Статистика акций за год'!H252-'Статистика акций за год'!H253)/'Статистика акций за год'!H253</f>
        <v>-1.6707920792079139E-2</v>
      </c>
      <c r="I252" s="12">
        <f>('Статистика акций за год'!I252-'Статистика акций за год'!I253)/'Статистика акций за год'!I253</f>
        <v>-4.0930846674368637E-2</v>
      </c>
      <c r="J252" s="12">
        <f>('Статистика акций за год'!J252-'Статистика акций за год'!J253)/'Статистика акций за год'!J253</f>
        <v>-1.6647855530473977E-2</v>
      </c>
      <c r="K252" s="12">
        <f>('Статистика акций за год'!K252-'Статистика акций за год'!K253)/'Статистика акций за год'!K253</f>
        <v>-4.5492620086075033E-2</v>
      </c>
      <c r="L252" s="17">
        <v>7.3400000000000007E-2</v>
      </c>
      <c r="M252" s="50">
        <f t="shared" si="3"/>
        <v>1.9407685995842527E-4</v>
      </c>
    </row>
    <row r="253" spans="1:13" x14ac:dyDescent="0.25">
      <c r="A253" s="6">
        <v>44911</v>
      </c>
      <c r="B253" s="12">
        <f>('Статистика акций за год'!B253-'Статистика акций за год'!B254)/'Статистика акций за год'!B254</f>
        <v>6.6445182724252554E-3</v>
      </c>
      <c r="C253" s="12">
        <f>('Статистика акций за год'!C253-'Статистика акций за год'!C254)/'Статистика акций за год'!C254</f>
        <v>-4.3665398290807298E-4</v>
      </c>
      <c r="D253" s="12">
        <f>('Статистика акций за год'!D253-'Статистика акций за год'!D254)/'Статистика акций за год'!D254</f>
        <v>2.6000452181777073E-2</v>
      </c>
      <c r="E253" s="12">
        <f>('Статистика акций за год'!E253-'Статистика акций за год'!E254)/'Статистика акций за год'!E254</f>
        <v>8.8414634146340779E-3</v>
      </c>
      <c r="F253" s="12">
        <f>('Статистика акций за год'!F253-'Статистика акций за год'!F254)/'Статистика акций за год'!F254</f>
        <v>6.6889632107021719E-3</v>
      </c>
      <c r="G253" s="12">
        <f>('Статистика акций за год'!G253-'Статистика акций за год'!G254)/'Статистика акций за год'!G254</f>
        <v>1.7524644030668127E-2</v>
      </c>
      <c r="H253" s="12">
        <f>('Статистика акций за год'!H253-'Статистика акций за год'!H254)/'Статистика акций за год'!H254</f>
        <v>-6.184291898577262E-4</v>
      </c>
      <c r="I253" s="12">
        <f>('Статистика акций за год'!I253-'Статистика акций за год'!I254)/'Статистика акций за год'!I254</f>
        <v>-3.2900148050666231E-3</v>
      </c>
      <c r="J253" s="12">
        <f>('Статистика акций за год'!J253-'Статистика акций за год'!J254)/'Статистика акций за год'!J254</f>
        <v>7.3905628197838708E-3</v>
      </c>
      <c r="K253" s="12">
        <f>('Статистика акций за год'!K253-'Статистика акций за год'!K254)/'Статистика акций за год'!K254</f>
        <v>-3.243730866306352E-3</v>
      </c>
      <c r="L253" s="17">
        <v>6.9900000000000004E-2</v>
      </c>
      <c r="M253" s="50">
        <f t="shared" si="3"/>
        <v>1.8512723300667666E-4</v>
      </c>
    </row>
    <row r="254" spans="1:13" x14ac:dyDescent="0.25">
      <c r="A254" s="6">
        <v>44910</v>
      </c>
      <c r="B254" s="12">
        <f>('Статистика акций за год'!B254-'Статистика акций за год'!B255)/'Статистика акций за год'!B255</f>
        <v>-1.4729950900163788E-2</v>
      </c>
      <c r="C254" s="12">
        <f>('Статистика акций за год'!C254-'Статистика акций за год'!C255)/'Статистика акций за год'!C255</f>
        <v>-2.675127535149974E-3</v>
      </c>
      <c r="D254" s="12">
        <f>('Статистика акций за год'!D254-'Статистика акций за год'!D255)/'Статистика акций за год'!D255</f>
        <v>-2.3189045936395758E-2</v>
      </c>
      <c r="E254" s="12">
        <f>('Статистика акций за год'!E254-'Статистика акций за год'!E255)/'Статистика акций за год'!E255</f>
        <v>-1.6491754122938532E-2</v>
      </c>
      <c r="F254" s="12">
        <f>('Статистика акций за год'!F254-'Статистика акций за год'!F255)/'Статистика акций за год'!F255</f>
        <v>-2.0029133284777859E-2</v>
      </c>
      <c r="G254" s="12">
        <f>('Статистика акций за год'!G254-'Статистика акций за год'!G255)/'Статистика акций за год'!G255</f>
        <v>-1.1904761904761904E-2</v>
      </c>
      <c r="H254" s="12">
        <f>('Статистика акций за год'!H254-'Статистика акций за год'!H255)/'Статистика акций за год'!H255</f>
        <v>-2.2960725075528769E-2</v>
      </c>
      <c r="I254" s="12">
        <f>('Статистика акций за год'!I254-'Статистика акций за год'!I255)/'Статистика акций за год'!I255</f>
        <v>3.2789670404349228E-2</v>
      </c>
      <c r="J254" s="12">
        <f>('Статистика акций за год'!J254-'Статистика акций за год'!J255)/'Статистика акций за год'!J255</f>
        <v>-1.4013452914798205E-2</v>
      </c>
      <c r="K254" s="12">
        <f>('Статистика акций за год'!K254-'Статистика акций за год'!K255)/'Статистика акций за год'!K255</f>
        <v>-1.7657484397684654E-2</v>
      </c>
      <c r="L254" s="17">
        <v>6.9900000000000004E-2</v>
      </c>
      <c r="M254" s="50">
        <f t="shared" si="3"/>
        <v>1.8512723300667666E-4</v>
      </c>
    </row>
    <row r="255" spans="1:13" x14ac:dyDescent="0.25">
      <c r="A255" s="6">
        <v>44909</v>
      </c>
      <c r="B255" s="12">
        <f>('Статистика акций за год'!B255-'Статистика акций за год'!B256)/'Статистика акций за год'!B256</f>
        <v>-6.5040650406504117E-3</v>
      </c>
      <c r="C255" s="12">
        <f>('Статистика акций за год'!C255-'Статистика акций за год'!C256)/'Статистика акций за год'!C256</f>
        <v>-1.0221674876847268E-2</v>
      </c>
      <c r="D255" s="12">
        <f>('Статистика акций за год'!D255-'Статистика акций за год'!D256)/'Статистика акций за год'!D256</f>
        <v>-1.5009788992821356E-2</v>
      </c>
      <c r="E255" s="12">
        <f>('Статистика акций за год'!E255-'Статистика акций за год'!E256)/'Статистика акций за год'!E256</f>
        <v>-1.1558980438648421E-2</v>
      </c>
      <c r="F255" s="12">
        <f>('Статистика акций за год'!F255-'Статистика акций за год'!F256)/'Статистика акций за год'!F256</f>
        <v>-6.0088322594656057E-3</v>
      </c>
      <c r="G255" s="12">
        <f>('Статистика акций за год'!G255-'Статистика акций за год'!G256)/'Статистика акций за год'!G256</f>
        <v>-4.8465266558966073E-3</v>
      </c>
      <c r="H255" s="12">
        <f>('Статистика акций за год'!H255-'Статистика акций за год'!H256)/'Статистика акций за год'!H256</f>
        <v>-1.3118664281454912E-2</v>
      </c>
      <c r="I255" s="12">
        <f>('Статистика акций за год'!I255-'Статистика акций за год'!I256)/'Статистика акций за год'!I256</f>
        <v>-5.4072321730313146E-3</v>
      </c>
      <c r="J255" s="12">
        <f>('Статистика акций за год'!J255-'Статистика акций за год'!J256)/'Статистика акций за год'!J256</f>
        <v>-4.4642857142856195E-3</v>
      </c>
      <c r="K255" s="12">
        <f>('Статистика акций за год'!K255-'Статистика акций за год'!K256)/'Статистика акций за год'!K256</f>
        <v>-2.5923579161960402E-2</v>
      </c>
      <c r="L255" s="17">
        <v>7.0099999999999996E-2</v>
      </c>
      <c r="M255" s="50">
        <f t="shared" si="3"/>
        <v>1.856394262655936E-4</v>
      </c>
    </row>
    <row r="256" spans="1:13" x14ac:dyDescent="0.25">
      <c r="A256" s="6">
        <v>44908</v>
      </c>
      <c r="B256" s="12">
        <f>('Статистика акций за год'!B256-'Статистика акций за год'!B257)/'Статистика акций за год'!B257</f>
        <v>-6.4620355411954822E-3</v>
      </c>
      <c r="C256" s="12">
        <f>('Статистика акций за год'!C256-'Статистика акций за год'!C257)/'Статистика акций за год'!C257</f>
        <v>-3.0081650193380851E-3</v>
      </c>
      <c r="D256" s="12">
        <f>('Статистика акций за год'!D256-'Статистика акций за год'!D257)/'Статистика акций за год'!D257</f>
        <v>-5.4089138900908695E-3</v>
      </c>
      <c r="E256" s="12">
        <f>('Статистика акций за год'!E256-'Статистика акций за год'!E257)/'Статистика акций за год'!E257</f>
        <v>6.5632458233889877E-3</v>
      </c>
      <c r="F256" s="12">
        <f>('Статистика акций за год'!F256-'Статистика акций за год'!F257)/'Статистика акций за год'!F257</f>
        <v>-9.6788069974189442E-3</v>
      </c>
      <c r="G256" s="12">
        <f>('Статистика акций за год'!G256-'Статистика акций за год'!G257)/'Статистика акций за год'!G257</f>
        <v>-5.3821313240043052E-4</v>
      </c>
      <c r="H256" s="12">
        <f>('Статистика акций за год'!H256-'Статистика акций за год'!H257)/'Статистика акций за год'!H257</f>
        <v>6.6026410564225353E-3</v>
      </c>
      <c r="I256" s="12">
        <f>('Статистика акций за год'!I256-'Статистика акций за год'!I257)/'Статистика акций за год'!I257</f>
        <v>-2.696326255476951E-3</v>
      </c>
      <c r="J256" s="12">
        <f>('Статистика акций за год'!J256-'Статистика акций за год'!J257)/'Статистика акций за год'!J257</f>
        <v>-4.7209108580950994E-3</v>
      </c>
      <c r="K256" s="12">
        <f>('Статистика акций за год'!K256-'Статистика акций за год'!K257)/'Статистика акций за год'!K257</f>
        <v>1.0102308836776752E-4</v>
      </c>
      <c r="L256" s="17">
        <v>7.0199999999999999E-2</v>
      </c>
      <c r="M256" s="50">
        <f t="shared" si="3"/>
        <v>1.8589548709635473E-4</v>
      </c>
    </row>
    <row r="257" spans="1:13" x14ac:dyDescent="0.25">
      <c r="A257" s="9">
        <v>44907</v>
      </c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7">
        <v>7.1099999999999997E-2</v>
      </c>
      <c r="M257" s="50">
        <f t="shared" si="3"/>
        <v>1.8819896141786252E-4</v>
      </c>
    </row>
    <row r="259" spans="1:13" ht="14.4" thickBot="1" x14ac:dyDescent="0.3"/>
    <row r="260" spans="1:13" ht="14.4" x14ac:dyDescent="0.3">
      <c r="A260" s="32"/>
      <c r="B260" s="32" t="s">
        <v>36</v>
      </c>
      <c r="C260" s="32" t="s">
        <v>37</v>
      </c>
      <c r="D260" s="32" t="s">
        <v>38</v>
      </c>
      <c r="E260" s="32" t="s">
        <v>39</v>
      </c>
      <c r="F260" s="32" t="s">
        <v>40</v>
      </c>
      <c r="G260" s="32" t="s">
        <v>41</v>
      </c>
      <c r="H260" s="32" t="s">
        <v>42</v>
      </c>
      <c r="I260" s="32" t="s">
        <v>43</v>
      </c>
      <c r="J260" s="32" t="s">
        <v>44</v>
      </c>
      <c r="K260"/>
    </row>
    <row r="261" spans="1:13" ht="14.4" x14ac:dyDescent="0.3">
      <c r="A261" t="s">
        <v>36</v>
      </c>
      <c r="B261">
        <v>1</v>
      </c>
      <c r="C261">
        <f>B262</f>
        <v>0.48579254536880362</v>
      </c>
      <c r="D261">
        <f>B263</f>
        <v>0.37898024690271692</v>
      </c>
      <c r="E261">
        <f>B264</f>
        <v>0.39003079581765521</v>
      </c>
      <c r="F261">
        <f>B265</f>
        <v>0.45826410785370181</v>
      </c>
      <c r="G261">
        <f>B266</f>
        <v>0.24408543055711629</v>
      </c>
      <c r="H261">
        <f>B267</f>
        <v>0.4739845016548071</v>
      </c>
      <c r="I261">
        <f>B268</f>
        <v>0.37738488984912272</v>
      </c>
      <c r="J261">
        <f>B269</f>
        <v>0.48726176295523754</v>
      </c>
      <c r="K261"/>
    </row>
    <row r="262" spans="1:13" ht="14.4" x14ac:dyDescent="0.3">
      <c r="A262" t="s">
        <v>37</v>
      </c>
      <c r="B262">
        <v>0.48579254536880362</v>
      </c>
      <c r="C262">
        <v>1</v>
      </c>
      <c r="D262">
        <f>C263</f>
        <v>0.26279430482931321</v>
      </c>
      <c r="E262">
        <f>C264</f>
        <v>0.41825955242143487</v>
      </c>
      <c r="F262">
        <f>C265</f>
        <v>0.44623755769392665</v>
      </c>
      <c r="G262">
        <f>C266</f>
        <v>0.20754710973202692</v>
      </c>
      <c r="H262">
        <f>C267</f>
        <v>0.44231295050124214</v>
      </c>
      <c r="I262">
        <f>C268</f>
        <v>0.3900289343285262</v>
      </c>
      <c r="J262">
        <f>C269</f>
        <v>0.44317589154897874</v>
      </c>
      <c r="K262"/>
    </row>
    <row r="263" spans="1:13" ht="14.4" x14ac:dyDescent="0.3">
      <c r="A263" t="s">
        <v>38</v>
      </c>
      <c r="B263">
        <v>0.37898024690271692</v>
      </c>
      <c r="C263">
        <v>0.26279430482931321</v>
      </c>
      <c r="D263">
        <v>1</v>
      </c>
      <c r="E263">
        <f>D264</f>
        <v>0.31300076234856189</v>
      </c>
      <c r="F263">
        <f>D265</f>
        <v>0.32874437741589041</v>
      </c>
      <c r="G263">
        <f>D266</f>
        <v>0.37943065708947976</v>
      </c>
      <c r="H263">
        <f>D267</f>
        <v>0.36563231695284426</v>
      </c>
      <c r="I263">
        <f>D268</f>
        <v>0.38073868284638307</v>
      </c>
      <c r="J263">
        <f>D269</f>
        <v>0.36467201116299836</v>
      </c>
      <c r="K263"/>
    </row>
    <row r="264" spans="1:13" ht="14.4" x14ac:dyDescent="0.3">
      <c r="A264" t="s">
        <v>39</v>
      </c>
      <c r="B264">
        <v>0.39003079581765521</v>
      </c>
      <c r="C264">
        <v>0.41825955242143487</v>
      </c>
      <c r="D264">
        <v>0.31300076234856189</v>
      </c>
      <c r="E264">
        <v>1</v>
      </c>
      <c r="F264">
        <f>E265</f>
        <v>0.37893201606781185</v>
      </c>
      <c r="G264">
        <f>E266</f>
        <v>0.29781385545160793</v>
      </c>
      <c r="H264">
        <f>E267</f>
        <v>0.38694563222777029</v>
      </c>
      <c r="I264">
        <f>E268</f>
        <v>0.38513805581116645</v>
      </c>
      <c r="J264">
        <f>E269</f>
        <v>0.56203848871721307</v>
      </c>
      <c r="K264"/>
    </row>
    <row r="265" spans="1:13" ht="14.4" x14ac:dyDescent="0.3">
      <c r="A265" t="s">
        <v>40</v>
      </c>
      <c r="B265">
        <v>0.45826410785370181</v>
      </c>
      <c r="C265">
        <v>0.44623755769392665</v>
      </c>
      <c r="D265">
        <v>0.32874437741589041</v>
      </c>
      <c r="E265">
        <v>0.37893201606781185</v>
      </c>
      <c r="F265">
        <v>1</v>
      </c>
      <c r="G265">
        <f>F266</f>
        <v>0.2342527304509873</v>
      </c>
      <c r="H265">
        <f>F267</f>
        <v>0.32469762403162256</v>
      </c>
      <c r="I265">
        <f>F268</f>
        <v>0.36882267086017395</v>
      </c>
      <c r="J265">
        <f>F269</f>
        <v>0.40030546431816083</v>
      </c>
      <c r="K265"/>
    </row>
    <row r="266" spans="1:13" ht="14.4" x14ac:dyDescent="0.3">
      <c r="A266" t="s">
        <v>41</v>
      </c>
      <c r="B266">
        <v>0.24408543055711629</v>
      </c>
      <c r="C266">
        <v>0.20754710973202692</v>
      </c>
      <c r="D266">
        <v>0.37943065708947976</v>
      </c>
      <c r="E266">
        <v>0.29781385545160793</v>
      </c>
      <c r="F266">
        <v>0.2342527304509873</v>
      </c>
      <c r="G266">
        <v>1</v>
      </c>
      <c r="H266">
        <f>G267</f>
        <v>0.24653555111007389</v>
      </c>
      <c r="I266">
        <f>G268</f>
        <v>0.27215528952490214</v>
      </c>
      <c r="J266">
        <f>G269</f>
        <v>0.31639612398556932</v>
      </c>
      <c r="K266"/>
    </row>
    <row r="267" spans="1:13" ht="14.4" x14ac:dyDescent="0.3">
      <c r="A267" t="s">
        <v>42</v>
      </c>
      <c r="B267">
        <v>0.4739845016548071</v>
      </c>
      <c r="C267">
        <v>0.44231295050124214</v>
      </c>
      <c r="D267">
        <v>0.36563231695284426</v>
      </c>
      <c r="E267">
        <v>0.38694563222777029</v>
      </c>
      <c r="F267">
        <v>0.32469762403162256</v>
      </c>
      <c r="G267">
        <v>0.24653555111007389</v>
      </c>
      <c r="H267">
        <v>1</v>
      </c>
      <c r="I267">
        <f>H268</f>
        <v>0.50087657347414682</v>
      </c>
      <c r="J267">
        <f>H269</f>
        <v>0.44241686769700406</v>
      </c>
      <c r="K267"/>
    </row>
    <row r="268" spans="1:13" ht="14.4" x14ac:dyDescent="0.3">
      <c r="A268" t="s">
        <v>43</v>
      </c>
      <c r="B268">
        <v>0.37738488984912272</v>
      </c>
      <c r="C268">
        <v>0.3900289343285262</v>
      </c>
      <c r="D268">
        <v>0.38073868284638307</v>
      </c>
      <c r="E268">
        <v>0.38513805581116645</v>
      </c>
      <c r="F268">
        <v>0.36882267086017395</v>
      </c>
      <c r="G268">
        <v>0.27215528952490214</v>
      </c>
      <c r="H268">
        <v>0.50087657347414682</v>
      </c>
      <c r="I268">
        <v>1</v>
      </c>
      <c r="J268">
        <f>I269</f>
        <v>0.45575103662260591</v>
      </c>
      <c r="K268"/>
    </row>
    <row r="269" spans="1:13" ht="15" thickBot="1" x14ac:dyDescent="0.35">
      <c r="A269" s="52" t="s">
        <v>44</v>
      </c>
      <c r="B269" s="52">
        <v>0.48726176295523754</v>
      </c>
      <c r="C269" s="52">
        <v>0.44317589154897874</v>
      </c>
      <c r="D269" s="52">
        <v>0.36467201116299836</v>
      </c>
      <c r="E269" s="52">
        <v>0.56203848871721307</v>
      </c>
      <c r="F269" s="52">
        <v>0.40030546431816083</v>
      </c>
      <c r="G269" s="52">
        <v>0.31639612398556932</v>
      </c>
      <c r="H269" s="52">
        <v>0.44241686769700406</v>
      </c>
      <c r="I269" s="52">
        <v>0.45575103662260591</v>
      </c>
      <c r="J269" s="52">
        <v>1</v>
      </c>
      <c r="K269"/>
    </row>
    <row r="270" spans="1:13" ht="14.4" x14ac:dyDescent="0.3">
      <c r="A270"/>
      <c r="B270"/>
      <c r="C270"/>
      <c r="D270"/>
      <c r="E270"/>
      <c r="F270"/>
      <c r="G270"/>
      <c r="H270"/>
      <c r="I270"/>
      <c r="J270"/>
      <c r="K270"/>
    </row>
    <row r="271" spans="1:13" ht="14.4" x14ac:dyDescent="0.3">
      <c r="A271"/>
      <c r="B271"/>
      <c r="C271"/>
      <c r="D271"/>
      <c r="E271"/>
      <c r="F271"/>
      <c r="G271"/>
      <c r="H271"/>
      <c r="I271"/>
      <c r="J271"/>
      <c r="K271"/>
    </row>
  </sheetData>
  <mergeCells count="1">
    <mergeCell ref="B2:J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22209-AD13-4E4C-8C8C-1361ABEF9CDF}">
  <dimension ref="B1:N14"/>
  <sheetViews>
    <sheetView zoomScale="80" zoomScaleNormal="80" workbookViewId="0">
      <selection activeCell="C5" sqref="C5"/>
    </sheetView>
  </sheetViews>
  <sheetFormatPr defaultRowHeight="13.8" x14ac:dyDescent="0.25"/>
  <cols>
    <col min="1" max="1" width="5.6640625" style="23" customWidth="1"/>
    <col min="2" max="2" width="11.109375" style="23" bestFit="1" customWidth="1"/>
    <col min="3" max="3" width="14.33203125" style="23" bestFit="1" customWidth="1"/>
    <col min="4" max="4" width="12.21875" style="23" bestFit="1" customWidth="1"/>
    <col min="5" max="6" width="12.109375" style="23" bestFit="1" customWidth="1"/>
    <col min="7" max="7" width="12.21875" style="23" bestFit="1" customWidth="1"/>
    <col min="8" max="8" width="13.33203125" style="23" bestFit="1" customWidth="1"/>
    <col min="9" max="9" width="12.21875" style="23" bestFit="1" customWidth="1"/>
    <col min="10" max="10" width="11.21875" style="23" bestFit="1" customWidth="1"/>
    <col min="11" max="11" width="14.33203125" style="23" bestFit="1" customWidth="1"/>
    <col min="12" max="13" width="13.33203125" style="23" bestFit="1" customWidth="1"/>
    <col min="14" max="16384" width="8.88671875" style="23"/>
  </cols>
  <sheetData>
    <row r="1" spans="2:14" ht="18" x14ac:dyDescent="0.35">
      <c r="B1" s="44" t="s">
        <v>26</v>
      </c>
      <c r="C1" s="42"/>
      <c r="D1" s="42"/>
      <c r="E1" s="42"/>
      <c r="F1" s="42"/>
      <c r="G1" s="42"/>
      <c r="H1" s="42"/>
      <c r="I1" s="42"/>
      <c r="J1" s="42"/>
      <c r="K1" s="42"/>
    </row>
    <row r="2" spans="2:14" ht="17.399999999999999" x14ac:dyDescent="0.3">
      <c r="B2" s="43"/>
      <c r="C2" s="42"/>
      <c r="D2" s="42"/>
      <c r="E2" s="42"/>
      <c r="F2" s="42"/>
      <c r="G2" s="42"/>
      <c r="H2" s="42"/>
      <c r="I2" s="42"/>
      <c r="J2" s="42"/>
      <c r="K2" s="42"/>
    </row>
    <row r="3" spans="2:14" ht="43.2" customHeight="1" x14ac:dyDescent="0.25">
      <c r="B3" s="27"/>
      <c r="C3" s="28" t="s">
        <v>3</v>
      </c>
      <c r="D3" s="28" t="s">
        <v>4</v>
      </c>
      <c r="E3" s="29" t="s">
        <v>5</v>
      </c>
      <c r="F3" s="28" t="s">
        <v>1</v>
      </c>
      <c r="G3" s="28" t="s">
        <v>6</v>
      </c>
      <c r="H3" s="28" t="s">
        <v>7</v>
      </c>
      <c r="I3" s="28" t="s">
        <v>8</v>
      </c>
      <c r="J3" s="28" t="s">
        <v>2</v>
      </c>
      <c r="K3" s="28" t="s">
        <v>9</v>
      </c>
      <c r="L3" s="28" t="s">
        <v>10</v>
      </c>
      <c r="M3" s="30" t="s">
        <v>13</v>
      </c>
    </row>
    <row r="4" spans="2:14" x14ac:dyDescent="0.25">
      <c r="B4" s="48" t="s">
        <v>16</v>
      </c>
      <c r="C4" s="25">
        <f>AVERAGE(Доходность!B4:B256)</f>
        <v>1.5891121635179888E-3</v>
      </c>
      <c r="D4" s="25">
        <f>AVERAGE(Доходность!C4:C256)</f>
        <v>3.6145201195915689E-5</v>
      </c>
      <c r="E4" s="25">
        <f>AVERAGE(Доходность!D4:D256)</f>
        <v>4.4473619750291256E-4</v>
      </c>
      <c r="F4" s="25">
        <f>AVERAGE(Доходность!E4:E256)</f>
        <v>2.1520809966442817E-3</v>
      </c>
      <c r="G4" s="25">
        <f>AVERAGE(Доходность!F4:F256)</f>
        <v>2.6584824432780633E-3</v>
      </c>
      <c r="H4" s="25">
        <f>AVERAGE(Доходность!G4:G256)</f>
        <v>3.6185148452593384E-3</v>
      </c>
      <c r="I4" s="25">
        <f>AVERAGE(Доходность!H4:H256)</f>
        <v>3.9183445530558499E-4</v>
      </c>
      <c r="J4" s="25">
        <f>AVERAGE(Доходность!I4:I256)</f>
        <v>5.9800717111760512E-4</v>
      </c>
      <c r="K4" s="25">
        <f>AVERAGE(Доходность!J4:J256)</f>
        <v>2.351985378806847E-3</v>
      </c>
      <c r="L4" s="25">
        <f>AVERAGE(Доходность!K4:K250)</f>
        <v>4.2616391411383803E-4</v>
      </c>
      <c r="M4" s="25">
        <f>AVERAGE(Доходность!M4:M257)</f>
        <v>2.3893387408413337E-4</v>
      </c>
    </row>
    <row r="5" spans="2:14" ht="14.4" x14ac:dyDescent="0.3">
      <c r="B5" s="48" t="s">
        <v>14</v>
      </c>
      <c r="C5" s="24">
        <f>_xlfn.VAR.S(Доходность!B4:B256)</f>
        <v>2.9842586722558941E-4</v>
      </c>
      <c r="D5" s="24">
        <f>_xlfn.VAR.S(Доходность!C4:C256)</f>
        <v>1.4189670584244555E-4</v>
      </c>
      <c r="E5" s="24">
        <f>_xlfn.VAR.S(Доходность!D4:D256)</f>
        <v>2.0970324681281302E-4</v>
      </c>
      <c r="F5" s="24">
        <f>_xlfn.VAR.S(Доходность!E4:E256)</f>
        <v>1.774908123803737E-4</v>
      </c>
      <c r="G5" s="24">
        <f>_xlfn.VAR.S(Доходность!F4:F256)</f>
        <v>2.3716272664366469E-4</v>
      </c>
      <c r="H5" s="24">
        <f>_xlfn.VAR.S(Доходность!G4:G256)</f>
        <v>5.0336428163536028E-4</v>
      </c>
      <c r="I5" s="24">
        <f>_xlfn.VAR.S(Доходность!H4:H256)</f>
        <v>3.4909548150190557E-4</v>
      </c>
      <c r="J5" s="24">
        <f>_xlfn.VAR.S(Доходность!I4:I256)</f>
        <v>2.5668842580842241E-4</v>
      </c>
      <c r="K5" s="24">
        <f>_xlfn.VAR.S(Доходность!J4:J256)</f>
        <v>1.8249552317646552E-4</v>
      </c>
      <c r="L5" s="24">
        <f>_xlfn.VAR.S(Доходность!K4:K250)</f>
        <v>1.5533767886688712E-4</v>
      </c>
      <c r="M5" s="24">
        <v>0</v>
      </c>
      <c r="N5" s="14" t="s">
        <v>32</v>
      </c>
    </row>
    <row r="6" spans="2:14" ht="14.4" x14ac:dyDescent="0.3">
      <c r="B6" s="48" t="s">
        <v>15</v>
      </c>
      <c r="C6" s="24">
        <f t="shared" ref="C6:L6" si="0">SQRT(C5)</f>
        <v>1.727500701086947E-2</v>
      </c>
      <c r="D6" s="24">
        <f t="shared" si="0"/>
        <v>1.1912040372767612E-2</v>
      </c>
      <c r="E6" s="24">
        <f t="shared" si="0"/>
        <v>1.4481134168731848E-2</v>
      </c>
      <c r="F6" s="24">
        <f t="shared" si="0"/>
        <v>1.3322567784791853E-2</v>
      </c>
      <c r="G6" s="24">
        <f t="shared" si="0"/>
        <v>1.540008852713726E-2</v>
      </c>
      <c r="H6" s="24">
        <f t="shared" si="0"/>
        <v>2.2435781279807492E-2</v>
      </c>
      <c r="I6" s="24">
        <f t="shared" si="0"/>
        <v>1.8684097021314825E-2</v>
      </c>
      <c r="J6" s="24">
        <f t="shared" si="0"/>
        <v>1.602149886272887E-2</v>
      </c>
      <c r="K6" s="24">
        <f t="shared" si="0"/>
        <v>1.3509090390417318E-2</v>
      </c>
      <c r="L6" s="24">
        <f t="shared" si="0"/>
        <v>1.2463453729479927E-2</v>
      </c>
      <c r="M6" s="24">
        <v>0</v>
      </c>
      <c r="N6" s="14"/>
    </row>
    <row r="10" spans="2:14" x14ac:dyDescent="0.25">
      <c r="L10" s="26"/>
    </row>
    <row r="14" spans="2:14" x14ac:dyDescent="0.25">
      <c r="M14" s="40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771B3-2958-4858-9912-AEDD2220A8D2}">
  <dimension ref="B2:S49"/>
  <sheetViews>
    <sheetView tabSelected="1" topLeftCell="I1" zoomScale="76" workbookViewId="0">
      <selection activeCell="W31" sqref="W31"/>
    </sheetView>
  </sheetViews>
  <sheetFormatPr defaultRowHeight="14.4" x14ac:dyDescent="0.3"/>
  <cols>
    <col min="1" max="1" width="5.77734375" customWidth="1"/>
    <col min="2" max="2" width="12.21875" customWidth="1"/>
    <col min="3" max="3" width="12.77734375" bestFit="1" customWidth="1"/>
    <col min="4" max="11" width="12.109375" bestFit="1" customWidth="1"/>
    <col min="12" max="12" width="12.88671875" customWidth="1"/>
    <col min="13" max="13" width="12.21875" bestFit="1" customWidth="1"/>
    <col min="15" max="15" width="13.33203125" customWidth="1"/>
    <col min="16" max="16" width="13.77734375" customWidth="1"/>
  </cols>
  <sheetData>
    <row r="2" spans="2:19" ht="18" x14ac:dyDescent="0.35">
      <c r="B2" s="16" t="s">
        <v>25</v>
      </c>
      <c r="S2" s="16" t="s">
        <v>21</v>
      </c>
    </row>
    <row r="3" spans="2:19" ht="15" thickBot="1" x14ac:dyDescent="0.35"/>
    <row r="4" spans="2:19" x14ac:dyDescent="0.3">
      <c r="B4" s="32"/>
      <c r="C4" s="32" t="str">
        <f>'Модель доходности'!C3</f>
        <v>Аэрофлот</v>
      </c>
      <c r="D4" s="32" t="str">
        <f>'Модель доходности'!D3</f>
        <v>Газпром</v>
      </c>
      <c r="E4" s="32" t="str">
        <f>'Модель доходности'!E3</f>
        <v>МТС</v>
      </c>
      <c r="F4" s="32" t="str">
        <f>'Модель доходности'!F3</f>
        <v>Роснефть</v>
      </c>
      <c r="G4" s="32" t="str">
        <f>'Модель доходности'!G3</f>
        <v xml:space="preserve">Сбербанк </v>
      </c>
      <c r="H4" s="32" t="str">
        <f>'Модель доходности'!H3</f>
        <v>Башнефть</v>
      </c>
      <c r="I4" s="32" t="str">
        <f>'Модель доходности'!I3</f>
        <v>М.видео</v>
      </c>
      <c r="J4" s="32" t="str">
        <f>'Модель доходности'!J3</f>
        <v>ПИК</v>
      </c>
      <c r="K4" s="32" t="str">
        <f>'Модель доходности'!K3</f>
        <v>Татнефть</v>
      </c>
    </row>
    <row r="5" spans="2:19" x14ac:dyDescent="0.3">
      <c r="B5" t="str">
        <f>C4</f>
        <v>Аэрофлот</v>
      </c>
      <c r="C5">
        <f>VARP(Доходность!$B$4:$B$256)</f>
        <v>2.9724631834327484E-4</v>
      </c>
      <c r="D5">
        <f>C6</f>
        <v>9.9571547022188816E-5</v>
      </c>
      <c r="E5">
        <f>C7</f>
        <v>9.4431612048456002E-5</v>
      </c>
      <c r="F5">
        <f>C8</f>
        <v>8.9409793048072847E-5</v>
      </c>
      <c r="G5">
        <f>C9</f>
        <v>1.2143316459960902E-4</v>
      </c>
      <c r="H5">
        <f>C10</f>
        <v>9.4228289297699572E-5</v>
      </c>
      <c r="I5">
        <f>C11</f>
        <v>1.5238229392358575E-4</v>
      </c>
      <c r="J5">
        <f>C12</f>
        <v>1.040365405800802E-4</v>
      </c>
      <c r="K5">
        <f>C13</f>
        <v>1.1326264298863261E-4</v>
      </c>
    </row>
    <row r="6" spans="2:19" x14ac:dyDescent="0.3">
      <c r="B6" t="str">
        <f>D4</f>
        <v>Газпром</v>
      </c>
      <c r="C6">
        <v>9.9571547022188816E-5</v>
      </c>
      <c r="D6">
        <f>VARP(Доходность!$C$4:$C$256)</f>
        <v>1.4133584929761374E-4</v>
      </c>
      <c r="E6">
        <f>D7</f>
        <v>4.5152801657104974E-5</v>
      </c>
      <c r="F6">
        <f>D8</f>
        <v>6.6114997105437806E-5</v>
      </c>
      <c r="G6">
        <f>D9</f>
        <v>8.1537147433636929E-5</v>
      </c>
      <c r="H6">
        <f>D10</f>
        <v>5.5248954445564985E-5</v>
      </c>
      <c r="I6">
        <f>D11</f>
        <v>9.805459389828093E-5</v>
      </c>
      <c r="J6">
        <f>D12</f>
        <v>7.4142315643092809E-5</v>
      </c>
      <c r="K6">
        <f>D13</f>
        <v>7.1034350020322077E-5</v>
      </c>
    </row>
    <row r="7" spans="2:19" x14ac:dyDescent="0.3">
      <c r="B7" t="str">
        <f>E4</f>
        <v>МТС</v>
      </c>
      <c r="C7">
        <v>9.4431612048456002E-5</v>
      </c>
      <c r="D7">
        <v>4.5152801657104974E-5</v>
      </c>
      <c r="E7">
        <f>VARP(Доходность!$D$4:$D$256)</f>
        <v>2.0887438022462008E-4</v>
      </c>
      <c r="F7">
        <f>E8</f>
        <v>6.0147271487421708E-5</v>
      </c>
      <c r="G7">
        <f>E9</f>
        <v>7.3023752768098935E-5</v>
      </c>
      <c r="H7">
        <f>E10</f>
        <v>1.2278808110620216E-4</v>
      </c>
      <c r="I7">
        <f>E11</f>
        <v>9.853698851439002E-5</v>
      </c>
      <c r="J7">
        <f>E12</f>
        <v>8.7985831647349299E-5</v>
      </c>
      <c r="K7">
        <f>E13</f>
        <v>7.1057698461168237E-5</v>
      </c>
    </row>
    <row r="8" spans="2:19" x14ac:dyDescent="0.3">
      <c r="B8" t="str">
        <f>F4</f>
        <v>Роснефть</v>
      </c>
      <c r="C8">
        <v>8.9409793048072847E-5</v>
      </c>
      <c r="D8">
        <v>6.6114997105437806E-5</v>
      </c>
      <c r="E8">
        <v>6.0147271487421708E-5</v>
      </c>
      <c r="F8">
        <f>VARP(Доходность!$E$4:$E$256)</f>
        <v>1.767892676674078E-4</v>
      </c>
      <c r="G8">
        <f>F9</f>
        <v>7.7437705470050769E-5</v>
      </c>
      <c r="H8">
        <f>F10</f>
        <v>8.8665374893741856E-5</v>
      </c>
      <c r="I8">
        <f>F11</f>
        <v>9.5937858665481708E-5</v>
      </c>
      <c r="J8">
        <f>F12</f>
        <v>8.1881829051208704E-5</v>
      </c>
      <c r="K8">
        <f>F13</f>
        <v>1.0075349568724901E-4</v>
      </c>
    </row>
    <row r="9" spans="2:19" x14ac:dyDescent="0.3">
      <c r="B9" t="str">
        <f>G4</f>
        <v xml:space="preserve">Сбербанк </v>
      </c>
      <c r="C9">
        <v>1.2143316459960902E-4</v>
      </c>
      <c r="D9">
        <v>8.1537147433636929E-5</v>
      </c>
      <c r="E9">
        <v>7.3023752768098935E-5</v>
      </c>
      <c r="F9">
        <v>7.7437705470050769E-5</v>
      </c>
      <c r="G9">
        <f>VARP(Доходность!$F$4:$F$256)</f>
        <v>2.3622532456206918E-4</v>
      </c>
      <c r="H9">
        <f>G10</f>
        <v>8.0617457300965559E-5</v>
      </c>
      <c r="I9">
        <f>G11</f>
        <v>9.3058160066975519E-5</v>
      </c>
      <c r="J9">
        <f>G12</f>
        <v>9.0640854013092828E-5</v>
      </c>
      <c r="K9">
        <f>G13</f>
        <v>8.2950854276379641E-5</v>
      </c>
    </row>
    <row r="10" spans="2:19" x14ac:dyDescent="0.3">
      <c r="B10" t="str">
        <f>H4</f>
        <v>Башнефть</v>
      </c>
      <c r="C10">
        <v>9.4228289297699572E-5</v>
      </c>
      <c r="D10">
        <v>5.5248954445564985E-5</v>
      </c>
      <c r="E10">
        <v>1.2278808110620216E-4</v>
      </c>
      <c r="F10">
        <v>8.8665374893741856E-5</v>
      </c>
      <c r="G10">
        <v>8.0617457300965559E-5</v>
      </c>
      <c r="H10">
        <f>VARP(Доходность!$G$4:$G$256)</f>
        <v>5.0137469949450904E-4</v>
      </c>
      <c r="I10">
        <f>H11</f>
        <v>1.0293732674237405E-4</v>
      </c>
      <c r="J10">
        <f>H12</f>
        <v>9.7440867102850258E-5</v>
      </c>
      <c r="K10">
        <f>H13</f>
        <v>9.5516517373421867E-5</v>
      </c>
    </row>
    <row r="11" spans="2:19" x14ac:dyDescent="0.3">
      <c r="B11" t="str">
        <f>I4</f>
        <v>М.видео</v>
      </c>
      <c r="C11">
        <v>1.5238229392358575E-4</v>
      </c>
      <c r="D11">
        <v>9.805459389828093E-5</v>
      </c>
      <c r="E11">
        <v>9.853698851439002E-5</v>
      </c>
      <c r="F11">
        <v>9.5937858665481708E-5</v>
      </c>
      <c r="G11">
        <v>9.3058160066975519E-5</v>
      </c>
      <c r="H11">
        <v>1.0293732674237405E-4</v>
      </c>
      <c r="I11">
        <f>VARP(Доходность!$H$4:$H$256)</f>
        <v>3.477156574643486E-4</v>
      </c>
      <c r="J11">
        <f>I12</f>
        <v>1.4934338695057919E-4</v>
      </c>
      <c r="K11">
        <f>I13</f>
        <v>1.1122692162450921E-4</v>
      </c>
    </row>
    <row r="12" spans="2:19" x14ac:dyDescent="0.3">
      <c r="B12" t="str">
        <f>J4</f>
        <v>ПИК</v>
      </c>
      <c r="C12">
        <v>1.040365405800802E-4</v>
      </c>
      <c r="D12">
        <v>7.4142315643092809E-5</v>
      </c>
      <c r="E12">
        <v>8.7985831647349299E-5</v>
      </c>
      <c r="F12">
        <v>8.1881829051208704E-5</v>
      </c>
      <c r="G12">
        <v>9.0640854013092828E-5</v>
      </c>
      <c r="H12">
        <v>9.7440867102850258E-5</v>
      </c>
      <c r="I12">
        <v>1.4934338695057919E-4</v>
      </c>
      <c r="J12">
        <f>VARP(Доходность!$I$4:$I$256)</f>
        <v>2.556738470502864E-4</v>
      </c>
      <c r="K12">
        <f>J13</f>
        <v>9.8250990116742002E-5</v>
      </c>
    </row>
    <row r="13" spans="2:19" x14ac:dyDescent="0.3">
      <c r="B13" s="35" t="str">
        <f>K4</f>
        <v>Татнефть</v>
      </c>
      <c r="C13" s="35">
        <v>1.1326264298863261E-4</v>
      </c>
      <c r="D13" s="35">
        <v>7.1034350020322077E-5</v>
      </c>
      <c r="E13" s="35">
        <v>7.1057698461168237E-5</v>
      </c>
      <c r="F13" s="35">
        <v>1.0075349568724901E-4</v>
      </c>
      <c r="G13" s="35">
        <v>8.2950854276379641E-5</v>
      </c>
      <c r="H13" s="35">
        <v>9.5516517373421867E-5</v>
      </c>
      <c r="I13" s="35">
        <v>1.1122692162450921E-4</v>
      </c>
      <c r="J13" s="35">
        <v>9.8250990116742002E-5</v>
      </c>
      <c r="K13" s="35">
        <f>VARP(Доходность!$J$4:$J$256)</f>
        <v>1.8177419699790245E-4</v>
      </c>
    </row>
    <row r="15" spans="2:19" ht="18" x14ac:dyDescent="0.35">
      <c r="B15" s="16" t="s">
        <v>22</v>
      </c>
    </row>
    <row r="16" spans="2:19" ht="18" x14ac:dyDescent="0.35">
      <c r="B16" s="16" t="s">
        <v>23</v>
      </c>
    </row>
    <row r="17" spans="2:16" x14ac:dyDescent="0.3">
      <c r="B17" s="14"/>
    </row>
    <row r="18" spans="2:16" x14ac:dyDescent="0.3">
      <c r="B18" s="54"/>
      <c r="C18" s="55"/>
      <c r="D18" s="21" t="s">
        <v>3</v>
      </c>
      <c r="E18" s="21" t="s">
        <v>4</v>
      </c>
      <c r="F18" s="21" t="s">
        <v>5</v>
      </c>
      <c r="G18" s="21" t="s">
        <v>1</v>
      </c>
      <c r="H18" s="21" t="s">
        <v>6</v>
      </c>
      <c r="I18" s="21" t="s">
        <v>7</v>
      </c>
      <c r="J18" s="21" t="s">
        <v>8</v>
      </c>
      <c r="K18" s="21" t="s">
        <v>2</v>
      </c>
      <c r="L18" s="21" t="s">
        <v>9</v>
      </c>
      <c r="M18" s="21" t="s">
        <v>17</v>
      </c>
      <c r="O18" s="34" t="s">
        <v>18</v>
      </c>
      <c r="P18" s="37">
        <f>SQRT(M29)</f>
        <v>9.3083674477582781E-3</v>
      </c>
    </row>
    <row r="19" spans="2:16" x14ac:dyDescent="0.3">
      <c r="B19" s="56"/>
      <c r="C19" s="57"/>
      <c r="D19" s="36">
        <v>0</v>
      </c>
      <c r="E19" s="36">
        <v>0.40807312104170407</v>
      </c>
      <c r="F19" s="36">
        <v>0.26415639611589736</v>
      </c>
      <c r="G19" s="36">
        <v>0.1628885257254919</v>
      </c>
      <c r="H19" s="36">
        <v>4.9900863411287529E-2</v>
      </c>
      <c r="I19" s="36">
        <v>5.2249185030671602E-3</v>
      </c>
      <c r="J19" s="36">
        <v>0</v>
      </c>
      <c r="K19" s="36">
        <v>2.5503170033192014E-2</v>
      </c>
      <c r="L19" s="36">
        <v>8.4244005169360217E-2</v>
      </c>
      <c r="M19" s="33">
        <f>SUM(D19:L19)</f>
        <v>0.9999910000000003</v>
      </c>
      <c r="O19" s="34" t="s">
        <v>19</v>
      </c>
      <c r="P19" s="38">
        <f>SUMPRODUCT(D19:L19,'Модель доходности'!C4:K4)</f>
        <v>8.4773785843107665E-4</v>
      </c>
    </row>
    <row r="20" spans="2:16" x14ac:dyDescent="0.3">
      <c r="B20" s="21" t="str">
        <f>D18</f>
        <v>Аэрофлот</v>
      </c>
      <c r="C20" s="36">
        <f>D19</f>
        <v>0</v>
      </c>
      <c r="D20" s="21">
        <f>D19*C$20*C5</f>
        <v>0</v>
      </c>
      <c r="E20" s="21">
        <f>E19*C$20*D5</f>
        <v>0</v>
      </c>
      <c r="F20" s="21">
        <f>F19*C$20*E5</f>
        <v>0</v>
      </c>
      <c r="G20" s="21">
        <f t="shared" ref="G20:G28" si="0">$G$19*C20*F5</f>
        <v>0</v>
      </c>
      <c r="H20" s="21">
        <f t="shared" ref="H20:H28" si="1">$H$19*C20*G5</f>
        <v>0</v>
      </c>
      <c r="I20" s="21">
        <f t="shared" ref="I20:I28" si="2">$I$19*C20*H5</f>
        <v>0</v>
      </c>
      <c r="J20" s="21">
        <f t="shared" ref="J20:J28" si="3">$J$19*$C20*I5</f>
        <v>0</v>
      </c>
      <c r="K20" s="21">
        <f t="shared" ref="K20:K28" si="4">$K$19*$C20*J5</f>
        <v>0</v>
      </c>
      <c r="L20" s="21">
        <f t="shared" ref="L20:L28" si="5">$L$19*$C20*K5</f>
        <v>0</v>
      </c>
      <c r="M20" s="21">
        <f t="shared" ref="M20:M28" si="6">SUM(D20:L20)</f>
        <v>0</v>
      </c>
    </row>
    <row r="21" spans="2:16" x14ac:dyDescent="0.3">
      <c r="B21" s="21" t="str">
        <f>E18</f>
        <v>Газпром</v>
      </c>
      <c r="C21" s="36">
        <f>E19</f>
        <v>0.40807312104170407</v>
      </c>
      <c r="D21" s="21">
        <f>D19*C$21*C6</f>
        <v>0</v>
      </c>
      <c r="E21" s="21">
        <f>E19*C$21*D6</f>
        <v>2.3535764626773594E-5</v>
      </c>
      <c r="F21" s="21">
        <f>F20*C$20*E6</f>
        <v>0</v>
      </c>
      <c r="G21" s="21">
        <f t="shared" si="0"/>
        <v>4.3946922258699008E-6</v>
      </c>
      <c r="H21" s="21">
        <f t="shared" si="1"/>
        <v>1.6603573282665361E-6</v>
      </c>
      <c r="I21" s="21">
        <f t="shared" si="2"/>
        <v>1.177989919629831E-7</v>
      </c>
      <c r="J21" s="21">
        <f t="shared" si="3"/>
        <v>0</v>
      </c>
      <c r="K21" s="21">
        <f t="shared" si="4"/>
        <v>7.7161080761159154E-7</v>
      </c>
      <c r="L21" s="21">
        <f t="shared" si="5"/>
        <v>2.4419985775931114E-6</v>
      </c>
      <c r="M21" s="21">
        <f t="shared" si="6"/>
        <v>3.2922222558077722E-5</v>
      </c>
    </row>
    <row r="22" spans="2:16" x14ac:dyDescent="0.3">
      <c r="B22" s="21" t="str">
        <f>F18</f>
        <v>МТС</v>
      </c>
      <c r="C22" s="36">
        <f>F19</f>
        <v>0.26415639611589736</v>
      </c>
      <c r="D22" s="21">
        <f>D19*C$22*C7</f>
        <v>0</v>
      </c>
      <c r="E22" s="21">
        <f>E19*C$22*D7</f>
        <v>4.8672518990052076E-6</v>
      </c>
      <c r="F22" s="21">
        <f>F19*C$22*E7</f>
        <v>1.4574962164007786E-5</v>
      </c>
      <c r="G22" s="21">
        <f t="shared" si="0"/>
        <v>2.588019559780772E-6</v>
      </c>
      <c r="H22" s="21">
        <f t="shared" si="1"/>
        <v>9.6257225390501187E-7</v>
      </c>
      <c r="I22" s="21">
        <f t="shared" si="2"/>
        <v>1.6947157440401893E-7</v>
      </c>
      <c r="J22" s="21">
        <f t="shared" si="3"/>
        <v>0</v>
      </c>
      <c r="K22" s="21">
        <f t="shared" si="4"/>
        <v>5.9274519300468302E-7</v>
      </c>
      <c r="L22" s="21">
        <f t="shared" si="5"/>
        <v>1.5812890868534321E-6</v>
      </c>
      <c r="M22" s="21">
        <f t="shared" si="6"/>
        <v>2.5336311730960909E-5</v>
      </c>
    </row>
    <row r="23" spans="2:16" x14ac:dyDescent="0.3">
      <c r="B23" s="21" t="str">
        <f>G18</f>
        <v>Роснефть</v>
      </c>
      <c r="C23" s="36">
        <f>G19</f>
        <v>0.1628885257254919</v>
      </c>
      <c r="D23" s="21">
        <f>D19*C$23*C8</f>
        <v>0</v>
      </c>
      <c r="E23" s="21">
        <f>E19*C$23*D8</f>
        <v>4.3946922258699008E-6</v>
      </c>
      <c r="F23" s="21">
        <f t="shared" ref="F23:F28" si="7">$F$19*C23*E8</f>
        <v>2.588019559780772E-6</v>
      </c>
      <c r="G23" s="21">
        <f t="shared" si="0"/>
        <v>4.6906916190842281E-6</v>
      </c>
      <c r="H23" s="21">
        <f t="shared" si="1"/>
        <v>6.294352034338819E-7</v>
      </c>
      <c r="I23" s="21">
        <f t="shared" si="2"/>
        <v>7.546126271621313E-8</v>
      </c>
      <c r="J23" s="21">
        <f t="shared" si="3"/>
        <v>0</v>
      </c>
      <c r="K23" s="21">
        <f t="shared" si="4"/>
        <v>3.4015134632310929E-7</v>
      </c>
      <c r="L23" s="21">
        <f t="shared" si="5"/>
        <v>1.3825779358323119E-6</v>
      </c>
      <c r="M23" s="21">
        <f t="shared" si="6"/>
        <v>1.4101029153040417E-5</v>
      </c>
    </row>
    <row r="24" spans="2:16" x14ac:dyDescent="0.3">
      <c r="B24" s="21" t="str">
        <f>H18</f>
        <v xml:space="preserve">Сбербанк </v>
      </c>
      <c r="C24" s="36">
        <f>H19</f>
        <v>4.9900863411287529E-2</v>
      </c>
      <c r="D24" s="21">
        <f>D19*C$24*C9</f>
        <v>0</v>
      </c>
      <c r="E24" s="21">
        <f>E19*C$24*D9</f>
        <v>1.6603573282665361E-6</v>
      </c>
      <c r="F24" s="21">
        <f t="shared" si="7"/>
        <v>9.6257225390501187E-7</v>
      </c>
      <c r="G24" s="21">
        <f t="shared" si="0"/>
        <v>6.294352034338819E-7</v>
      </c>
      <c r="H24" s="21">
        <f t="shared" si="1"/>
        <v>5.8822377575813927E-7</v>
      </c>
      <c r="I24" s="21">
        <f t="shared" si="2"/>
        <v>2.1019223937465317E-8</v>
      </c>
      <c r="J24" s="21">
        <f t="shared" si="3"/>
        <v>0</v>
      </c>
      <c r="K24" s="21">
        <f t="shared" si="4"/>
        <v>1.1535228856796484E-7</v>
      </c>
      <c r="L24" s="21">
        <f t="shared" si="5"/>
        <v>3.4871283221841132E-7</v>
      </c>
      <c r="M24" s="21">
        <f t="shared" si="6"/>
        <v>4.3256729060874101E-6</v>
      </c>
    </row>
    <row r="25" spans="2:16" x14ac:dyDescent="0.3">
      <c r="B25" s="21" t="str">
        <f>I18</f>
        <v>Башнефть</v>
      </c>
      <c r="C25" s="36">
        <f>I19</f>
        <v>5.2249185030671602E-3</v>
      </c>
      <c r="D25" s="21">
        <f>D19*C$25*C10</f>
        <v>0</v>
      </c>
      <c r="E25" s="21">
        <f>E19*C$25*D10</f>
        <v>1.177989919629831E-7</v>
      </c>
      <c r="F25" s="21">
        <f t="shared" si="7"/>
        <v>1.6947157440401893E-7</v>
      </c>
      <c r="G25" s="21">
        <f t="shared" si="0"/>
        <v>7.546126271621313E-8</v>
      </c>
      <c r="H25" s="21">
        <f t="shared" si="1"/>
        <v>2.1019223937465317E-8</v>
      </c>
      <c r="I25" s="21">
        <f t="shared" si="2"/>
        <v>1.3687415666490069E-8</v>
      </c>
      <c r="J25" s="21">
        <f t="shared" si="3"/>
        <v>0</v>
      </c>
      <c r="K25" s="21">
        <f t="shared" si="4"/>
        <v>1.2984188960922449E-8</v>
      </c>
      <c r="L25" s="21">
        <f t="shared" si="5"/>
        <v>4.2043320282207354E-8</v>
      </c>
      <c r="M25" s="21">
        <f t="shared" si="6"/>
        <v>4.5246597793030035E-7</v>
      </c>
    </row>
    <row r="26" spans="2:16" x14ac:dyDescent="0.3">
      <c r="B26" s="21" t="str">
        <f>J18</f>
        <v>М.видео</v>
      </c>
      <c r="C26" s="36">
        <f>J19</f>
        <v>0</v>
      </c>
      <c r="D26" s="21">
        <f>D19*C$26*C11</f>
        <v>0</v>
      </c>
      <c r="E26" s="21">
        <f>E19*C$26*D11</f>
        <v>0</v>
      </c>
      <c r="F26" s="21">
        <f t="shared" si="7"/>
        <v>0</v>
      </c>
      <c r="G26" s="21">
        <f t="shared" si="0"/>
        <v>0</v>
      </c>
      <c r="H26" s="21">
        <f t="shared" si="1"/>
        <v>0</v>
      </c>
      <c r="I26" s="21">
        <f t="shared" si="2"/>
        <v>0</v>
      </c>
      <c r="J26" s="21">
        <f t="shared" si="3"/>
        <v>0</v>
      </c>
      <c r="K26" s="21">
        <f t="shared" si="4"/>
        <v>0</v>
      </c>
      <c r="L26" s="21">
        <f t="shared" si="5"/>
        <v>0</v>
      </c>
      <c r="M26" s="21">
        <f t="shared" si="6"/>
        <v>0</v>
      </c>
    </row>
    <row r="27" spans="2:16" x14ac:dyDescent="0.3">
      <c r="B27" s="21" t="str">
        <f>K18</f>
        <v>ПИК</v>
      </c>
      <c r="C27" s="36">
        <f>K19</f>
        <v>2.5503170033192014E-2</v>
      </c>
      <c r="D27" s="21">
        <f>D19*C$27*C12</f>
        <v>0</v>
      </c>
      <c r="E27" s="21">
        <f>E19*C$27*D12</f>
        <v>7.7161080761159154E-7</v>
      </c>
      <c r="F27" s="21">
        <f t="shared" si="7"/>
        <v>5.9274519300468302E-7</v>
      </c>
      <c r="G27" s="21">
        <f t="shared" si="0"/>
        <v>3.4015134632310929E-7</v>
      </c>
      <c r="H27" s="21">
        <f t="shared" si="1"/>
        <v>1.1535228856796484E-7</v>
      </c>
      <c r="I27" s="21">
        <f t="shared" si="2"/>
        <v>1.2984188960922449E-8</v>
      </c>
      <c r="J27" s="21">
        <f t="shared" si="3"/>
        <v>0</v>
      </c>
      <c r="K27" s="21">
        <f t="shared" si="4"/>
        <v>1.6629325683739889E-7</v>
      </c>
      <c r="L27" s="21">
        <f t="shared" si="5"/>
        <v>2.1109118998705045E-7</v>
      </c>
      <c r="M27" s="21">
        <f t="shared" si="6"/>
        <v>2.2102282712927204E-6</v>
      </c>
    </row>
    <row r="28" spans="2:16" x14ac:dyDescent="0.3">
      <c r="B28" s="21" t="str">
        <f>L18</f>
        <v>Татнефть</v>
      </c>
      <c r="C28" s="36">
        <f>L19</f>
        <v>8.4244005169360217E-2</v>
      </c>
      <c r="D28" s="21">
        <f>D19*C$28*C13</f>
        <v>0</v>
      </c>
      <c r="E28" s="21">
        <f>E19*C$28*D13</f>
        <v>2.4419985775931114E-6</v>
      </c>
      <c r="F28" s="21">
        <f t="shared" si="7"/>
        <v>1.5812890868534321E-6</v>
      </c>
      <c r="G28" s="21">
        <f t="shared" si="0"/>
        <v>1.3825779358323119E-6</v>
      </c>
      <c r="H28" s="21">
        <f t="shared" si="1"/>
        <v>3.4871283221841132E-7</v>
      </c>
      <c r="I28" s="21">
        <f t="shared" si="2"/>
        <v>4.2043320282207354E-8</v>
      </c>
      <c r="J28" s="21">
        <f t="shared" si="3"/>
        <v>0</v>
      </c>
      <c r="K28" s="21">
        <f t="shared" si="4"/>
        <v>2.1109118998705045E-7</v>
      </c>
      <c r="L28" s="21">
        <f t="shared" si="5"/>
        <v>1.2900610023299462E-6</v>
      </c>
      <c r="M28" s="21">
        <f t="shared" si="6"/>
        <v>7.2977739450964699E-6</v>
      </c>
    </row>
    <row r="29" spans="2:16" x14ac:dyDescent="0.3">
      <c r="B29" s="21" t="s">
        <v>17</v>
      </c>
      <c r="C29" s="39">
        <f>SUM(C20:C28)</f>
        <v>0.9999910000000003</v>
      </c>
      <c r="D29" s="21">
        <f>SUM(D20:D28)</f>
        <v>0</v>
      </c>
      <c r="E29" s="21">
        <f>SUM(E20:E28)</f>
        <v>3.7789474457082929E-5</v>
      </c>
      <c r="F29" s="21">
        <f t="shared" ref="F29:L29" si="8">SUM(F20:F28)</f>
        <v>2.0469059831955701E-5</v>
      </c>
      <c r="G29" s="21">
        <f t="shared" si="8"/>
        <v>1.4101029153040417E-5</v>
      </c>
      <c r="H29" s="21">
        <f t="shared" si="8"/>
        <v>4.3256729060874101E-6</v>
      </c>
      <c r="I29" s="21">
        <f t="shared" si="8"/>
        <v>4.5246597793030035E-7</v>
      </c>
      <c r="J29" s="21">
        <f t="shared" si="8"/>
        <v>0</v>
      </c>
      <c r="K29" s="21">
        <f t="shared" si="8"/>
        <v>2.2102282712927204E-6</v>
      </c>
      <c r="L29" s="21">
        <f t="shared" si="8"/>
        <v>7.2977739450964699E-6</v>
      </c>
      <c r="M29" s="21">
        <f>SUM(M20:M28)</f>
        <v>8.6645704542485951E-5</v>
      </c>
    </row>
    <row r="31" spans="2:16" ht="18" x14ac:dyDescent="0.35">
      <c r="B31" s="16" t="s">
        <v>24</v>
      </c>
    </row>
    <row r="33" spans="2:16" x14ac:dyDescent="0.3">
      <c r="B33" s="21" t="s">
        <v>20</v>
      </c>
      <c r="C33" s="21">
        <v>1</v>
      </c>
      <c r="D33" s="21">
        <v>2</v>
      </c>
      <c r="E33" s="21">
        <v>3</v>
      </c>
      <c r="F33" s="21">
        <v>4</v>
      </c>
      <c r="G33" s="21">
        <v>5</v>
      </c>
      <c r="H33" s="21">
        <v>6</v>
      </c>
      <c r="I33" s="21">
        <v>7</v>
      </c>
      <c r="J33" s="21">
        <v>8</v>
      </c>
      <c r="K33" s="21">
        <v>9</v>
      </c>
      <c r="L33" s="21">
        <v>10</v>
      </c>
    </row>
    <row r="34" spans="2:16" x14ac:dyDescent="0.3">
      <c r="B34" s="34" t="s">
        <v>19</v>
      </c>
      <c r="C34" s="22">
        <f>MIN('Модель доходности'!C4:K4)</f>
        <v>3.6145201195915689E-5</v>
      </c>
      <c r="D34" s="41">
        <f>C34+(($L$34-$C$34)/9)</f>
        <v>4.3418627275851817E-4</v>
      </c>
      <c r="E34" s="41">
        <f>D34+(($L$34-$C$34)/9)</f>
        <v>8.3222734432112071E-4</v>
      </c>
      <c r="F34" s="41">
        <f t="shared" ref="F34:K34" si="9">E34+(($L$34-$C$34)/9)</f>
        <v>1.2302684158837231E-3</v>
      </c>
      <c r="G34" s="41">
        <f t="shared" si="9"/>
        <v>1.6283094874463256E-3</v>
      </c>
      <c r="H34" s="41">
        <f t="shared" si="9"/>
        <v>2.0263505590089282E-3</v>
      </c>
      <c r="I34" s="41">
        <f t="shared" si="9"/>
        <v>2.4243916305715309E-3</v>
      </c>
      <c r="J34" s="41">
        <f t="shared" si="9"/>
        <v>2.8224327021341335E-3</v>
      </c>
      <c r="K34" s="41">
        <f t="shared" si="9"/>
        <v>3.2204737736967362E-3</v>
      </c>
      <c r="L34" s="41">
        <f>MAX('Модель доходности'!C4:K4)</f>
        <v>3.6185148452593384E-3</v>
      </c>
    </row>
    <row r="35" spans="2:16" x14ac:dyDescent="0.3">
      <c r="B35" s="34" t="s">
        <v>18</v>
      </c>
      <c r="C35" s="21">
        <v>1.1912040372767612E-2</v>
      </c>
      <c r="D35" s="21">
        <v>9.8083691636134084E-3</v>
      </c>
      <c r="E35" s="21">
        <v>9.5558459543318205E-3</v>
      </c>
      <c r="F35" s="21">
        <v>9.5555198117357014E-3</v>
      </c>
      <c r="G35" s="21">
        <v>9.7763529226226262E-3</v>
      </c>
      <c r="H35" s="21">
        <v>1.0207521771389061E-2</v>
      </c>
      <c r="I35" s="21">
        <v>1.0831763503812247E-2</v>
      </c>
      <c r="J35" s="21">
        <v>1.2215944139803585E-2</v>
      </c>
      <c r="K35" s="21">
        <v>1.5860378603989807E-2</v>
      </c>
      <c r="L35" s="21">
        <v>2.2391397625455268E-2</v>
      </c>
    </row>
    <row r="38" spans="2:16" x14ac:dyDescent="0.3">
      <c r="B38" s="54"/>
      <c r="C38" s="55"/>
      <c r="D38" s="21" t="s">
        <v>3</v>
      </c>
      <c r="E38" s="21" t="s">
        <v>4</v>
      </c>
      <c r="F38" s="21" t="s">
        <v>5</v>
      </c>
      <c r="G38" s="21" t="s">
        <v>1</v>
      </c>
      <c r="H38" s="21" t="s">
        <v>6</v>
      </c>
      <c r="I38" s="21" t="s">
        <v>7</v>
      </c>
      <c r="J38" s="21" t="s">
        <v>8</v>
      </c>
      <c r="K38" s="21" t="s">
        <v>2</v>
      </c>
      <c r="L38" s="21" t="s">
        <v>9</v>
      </c>
      <c r="M38" s="21" t="s">
        <v>17</v>
      </c>
      <c r="O38" s="34" t="s">
        <v>18</v>
      </c>
      <c r="P38" s="37">
        <f>SQRT(M49)</f>
        <v>2.2391397625455268E-2</v>
      </c>
    </row>
    <row r="39" spans="2:16" x14ac:dyDescent="0.3">
      <c r="B39" s="56"/>
      <c r="C39" s="57"/>
      <c r="D39" s="36">
        <v>0</v>
      </c>
      <c r="E39" s="36">
        <v>0</v>
      </c>
      <c r="F39" s="36">
        <v>0</v>
      </c>
      <c r="G39" s="36">
        <v>0</v>
      </c>
      <c r="H39" s="36">
        <v>0</v>
      </c>
      <c r="I39" s="36">
        <v>0.99999998815928959</v>
      </c>
      <c r="J39" s="36">
        <v>0</v>
      </c>
      <c r="K39" s="36">
        <v>0</v>
      </c>
      <c r="L39" s="36">
        <v>0</v>
      </c>
      <c r="M39" s="33">
        <f>SUM(D39:L39)</f>
        <v>0.99999998815928959</v>
      </c>
      <c r="O39" s="34" t="s">
        <v>19</v>
      </c>
      <c r="P39" s="38">
        <f>SUMPRODUCT(D39:L39,'Модель доходности'!C4:K4)</f>
        <v>3.618514802413552E-3</v>
      </c>
    </row>
    <row r="40" spans="2:16" x14ac:dyDescent="0.3">
      <c r="B40" s="21" t="str">
        <f>D38</f>
        <v>Аэрофлот</v>
      </c>
      <c r="C40" s="36">
        <f>D39</f>
        <v>0</v>
      </c>
      <c r="D40" s="21">
        <f t="shared" ref="D40:D48" si="10">$D$39*$C40*C5</f>
        <v>0</v>
      </c>
      <c r="E40" s="21">
        <f t="shared" ref="E40:E48" si="11">$E$39*$C40*D5</f>
        <v>0</v>
      </c>
      <c r="F40" s="21">
        <f t="shared" ref="F40:F48" si="12">$F$39*$C40*E5</f>
        <v>0</v>
      </c>
      <c r="G40" s="21">
        <f t="shared" ref="G40:G48" si="13">$G$39*$C40*F5</f>
        <v>0</v>
      </c>
      <c r="H40" s="21">
        <f t="shared" ref="H40:H48" si="14">$H$39*$C40*G5</f>
        <v>0</v>
      </c>
      <c r="I40" s="21">
        <f t="shared" ref="I40:I48" si="15">$I$39*$C40*H5</f>
        <v>0</v>
      </c>
      <c r="J40" s="21">
        <f t="shared" ref="J40:J48" si="16">$J$39*$C40*I5</f>
        <v>0</v>
      </c>
      <c r="K40" s="21">
        <f t="shared" ref="K40:K48" si="17">$K$39*$C40*J5</f>
        <v>0</v>
      </c>
      <c r="L40" s="21">
        <f t="shared" ref="L40:L48" si="18">$L$39*$C40*K5</f>
        <v>0</v>
      </c>
      <c r="M40" s="21">
        <f t="shared" ref="M40:M48" si="19">SUM(D40:L40)</f>
        <v>0</v>
      </c>
    </row>
    <row r="41" spans="2:16" x14ac:dyDescent="0.3">
      <c r="B41" s="21" t="str">
        <f>E38</f>
        <v>Газпром</v>
      </c>
      <c r="C41" s="36">
        <f>E39</f>
        <v>0</v>
      </c>
      <c r="D41" s="21">
        <f t="shared" si="10"/>
        <v>0</v>
      </c>
      <c r="E41" s="21">
        <f t="shared" si="11"/>
        <v>0</v>
      </c>
      <c r="F41" s="21">
        <f t="shared" si="12"/>
        <v>0</v>
      </c>
      <c r="G41" s="21">
        <f t="shared" si="13"/>
        <v>0</v>
      </c>
      <c r="H41" s="21">
        <f t="shared" si="14"/>
        <v>0</v>
      </c>
      <c r="I41" s="21">
        <f t="shared" si="15"/>
        <v>0</v>
      </c>
      <c r="J41" s="21">
        <f t="shared" si="16"/>
        <v>0</v>
      </c>
      <c r="K41" s="21">
        <f t="shared" si="17"/>
        <v>0</v>
      </c>
      <c r="L41" s="21">
        <f t="shared" si="18"/>
        <v>0</v>
      </c>
      <c r="M41" s="21">
        <f t="shared" si="19"/>
        <v>0</v>
      </c>
    </row>
    <row r="42" spans="2:16" x14ac:dyDescent="0.3">
      <c r="B42" s="21" t="str">
        <f>F38</f>
        <v>МТС</v>
      </c>
      <c r="C42" s="36">
        <f>F39</f>
        <v>0</v>
      </c>
      <c r="D42" s="21">
        <f t="shared" si="10"/>
        <v>0</v>
      </c>
      <c r="E42" s="21">
        <f t="shared" si="11"/>
        <v>0</v>
      </c>
      <c r="F42" s="21">
        <f t="shared" si="12"/>
        <v>0</v>
      </c>
      <c r="G42" s="21">
        <f t="shared" si="13"/>
        <v>0</v>
      </c>
      <c r="H42" s="21">
        <f t="shared" si="14"/>
        <v>0</v>
      </c>
      <c r="I42" s="21">
        <f t="shared" si="15"/>
        <v>0</v>
      </c>
      <c r="J42" s="21">
        <f t="shared" si="16"/>
        <v>0</v>
      </c>
      <c r="K42" s="21">
        <f t="shared" si="17"/>
        <v>0</v>
      </c>
      <c r="L42" s="21">
        <f t="shared" si="18"/>
        <v>0</v>
      </c>
      <c r="M42" s="21">
        <f t="shared" si="19"/>
        <v>0</v>
      </c>
    </row>
    <row r="43" spans="2:16" x14ac:dyDescent="0.3">
      <c r="B43" s="21" t="str">
        <f>G38</f>
        <v>Роснефть</v>
      </c>
      <c r="C43" s="36">
        <f>G39</f>
        <v>0</v>
      </c>
      <c r="D43" s="21">
        <f t="shared" si="10"/>
        <v>0</v>
      </c>
      <c r="E43" s="21">
        <f t="shared" si="11"/>
        <v>0</v>
      </c>
      <c r="F43" s="21">
        <f t="shared" si="12"/>
        <v>0</v>
      </c>
      <c r="G43" s="21">
        <f t="shared" si="13"/>
        <v>0</v>
      </c>
      <c r="H43" s="21">
        <f t="shared" si="14"/>
        <v>0</v>
      </c>
      <c r="I43" s="21">
        <f t="shared" si="15"/>
        <v>0</v>
      </c>
      <c r="J43" s="21">
        <f t="shared" si="16"/>
        <v>0</v>
      </c>
      <c r="K43" s="21">
        <f t="shared" si="17"/>
        <v>0</v>
      </c>
      <c r="L43" s="21">
        <f t="shared" si="18"/>
        <v>0</v>
      </c>
      <c r="M43" s="21">
        <f t="shared" si="19"/>
        <v>0</v>
      </c>
    </row>
    <row r="44" spans="2:16" x14ac:dyDescent="0.3">
      <c r="B44" s="21" t="str">
        <f>H38</f>
        <v xml:space="preserve">Сбербанк </v>
      </c>
      <c r="C44" s="36">
        <f>H39</f>
        <v>0</v>
      </c>
      <c r="D44" s="21">
        <f t="shared" si="10"/>
        <v>0</v>
      </c>
      <c r="E44" s="21">
        <f t="shared" si="11"/>
        <v>0</v>
      </c>
      <c r="F44" s="21">
        <f t="shared" si="12"/>
        <v>0</v>
      </c>
      <c r="G44" s="21">
        <f t="shared" si="13"/>
        <v>0</v>
      </c>
      <c r="H44" s="21">
        <f t="shared" si="14"/>
        <v>0</v>
      </c>
      <c r="I44" s="21">
        <f t="shared" si="15"/>
        <v>0</v>
      </c>
      <c r="J44" s="21">
        <f t="shared" si="16"/>
        <v>0</v>
      </c>
      <c r="K44" s="21">
        <f t="shared" si="17"/>
        <v>0</v>
      </c>
      <c r="L44" s="21">
        <f t="shared" si="18"/>
        <v>0</v>
      </c>
      <c r="M44" s="21">
        <f t="shared" si="19"/>
        <v>0</v>
      </c>
    </row>
    <row r="45" spans="2:16" x14ac:dyDescent="0.3">
      <c r="B45" s="21" t="str">
        <f>I38</f>
        <v>Башнефть</v>
      </c>
      <c r="C45" s="36">
        <f>I39</f>
        <v>0.99999998815928959</v>
      </c>
      <c r="D45" s="21">
        <f t="shared" si="10"/>
        <v>0</v>
      </c>
      <c r="E45" s="21">
        <f t="shared" si="11"/>
        <v>0</v>
      </c>
      <c r="F45" s="21">
        <f t="shared" si="12"/>
        <v>0</v>
      </c>
      <c r="G45" s="21">
        <f t="shared" si="13"/>
        <v>0</v>
      </c>
      <c r="H45" s="21">
        <f t="shared" si="14"/>
        <v>0</v>
      </c>
      <c r="I45" s="21">
        <f t="shared" si="15"/>
        <v>5.0137468762124387E-4</v>
      </c>
      <c r="J45" s="21">
        <f t="shared" si="16"/>
        <v>0</v>
      </c>
      <c r="K45" s="21">
        <f t="shared" si="17"/>
        <v>0</v>
      </c>
      <c r="L45" s="21">
        <f t="shared" si="18"/>
        <v>0</v>
      </c>
      <c r="M45" s="21">
        <f t="shared" si="19"/>
        <v>5.0137468762124387E-4</v>
      </c>
    </row>
    <row r="46" spans="2:16" x14ac:dyDescent="0.3">
      <c r="B46" s="21" t="str">
        <f>J38</f>
        <v>М.видео</v>
      </c>
      <c r="C46" s="36">
        <f>J39</f>
        <v>0</v>
      </c>
      <c r="D46" s="21">
        <f t="shared" si="10"/>
        <v>0</v>
      </c>
      <c r="E46" s="21">
        <f t="shared" si="11"/>
        <v>0</v>
      </c>
      <c r="F46" s="21">
        <f t="shared" si="12"/>
        <v>0</v>
      </c>
      <c r="G46" s="21">
        <f t="shared" si="13"/>
        <v>0</v>
      </c>
      <c r="H46" s="21">
        <f t="shared" si="14"/>
        <v>0</v>
      </c>
      <c r="I46" s="21">
        <f t="shared" si="15"/>
        <v>0</v>
      </c>
      <c r="J46" s="21">
        <f t="shared" si="16"/>
        <v>0</v>
      </c>
      <c r="K46" s="21">
        <f t="shared" si="17"/>
        <v>0</v>
      </c>
      <c r="L46" s="21">
        <f t="shared" si="18"/>
        <v>0</v>
      </c>
      <c r="M46" s="21">
        <f t="shared" si="19"/>
        <v>0</v>
      </c>
    </row>
    <row r="47" spans="2:16" x14ac:dyDescent="0.3">
      <c r="B47" s="21" t="str">
        <f>K38</f>
        <v>ПИК</v>
      </c>
      <c r="C47" s="36">
        <f>K39</f>
        <v>0</v>
      </c>
      <c r="D47" s="21">
        <f t="shared" si="10"/>
        <v>0</v>
      </c>
      <c r="E47" s="21">
        <f t="shared" si="11"/>
        <v>0</v>
      </c>
      <c r="F47" s="21">
        <f t="shared" si="12"/>
        <v>0</v>
      </c>
      <c r="G47" s="21">
        <f t="shared" si="13"/>
        <v>0</v>
      </c>
      <c r="H47" s="21">
        <f t="shared" si="14"/>
        <v>0</v>
      </c>
      <c r="I47" s="21">
        <f t="shared" si="15"/>
        <v>0</v>
      </c>
      <c r="J47" s="21">
        <f t="shared" si="16"/>
        <v>0</v>
      </c>
      <c r="K47" s="21">
        <f t="shared" si="17"/>
        <v>0</v>
      </c>
      <c r="L47" s="21">
        <f t="shared" si="18"/>
        <v>0</v>
      </c>
      <c r="M47" s="21">
        <f t="shared" si="19"/>
        <v>0</v>
      </c>
    </row>
    <row r="48" spans="2:16" x14ac:dyDescent="0.3">
      <c r="B48" s="21" t="str">
        <f>L38</f>
        <v>Татнефть</v>
      </c>
      <c r="C48" s="36">
        <f>L39</f>
        <v>0</v>
      </c>
      <c r="D48" s="21">
        <f t="shared" si="10"/>
        <v>0</v>
      </c>
      <c r="E48" s="21">
        <f t="shared" si="11"/>
        <v>0</v>
      </c>
      <c r="F48" s="21">
        <f t="shared" si="12"/>
        <v>0</v>
      </c>
      <c r="G48" s="21">
        <f t="shared" si="13"/>
        <v>0</v>
      </c>
      <c r="H48" s="21">
        <f t="shared" si="14"/>
        <v>0</v>
      </c>
      <c r="I48" s="21">
        <f t="shared" si="15"/>
        <v>0</v>
      </c>
      <c r="J48" s="21">
        <f t="shared" si="16"/>
        <v>0</v>
      </c>
      <c r="K48" s="21">
        <f t="shared" si="17"/>
        <v>0</v>
      </c>
      <c r="L48" s="21">
        <f t="shared" si="18"/>
        <v>0</v>
      </c>
      <c r="M48" s="21">
        <f t="shared" si="19"/>
        <v>0</v>
      </c>
    </row>
    <row r="49" spans="2:13" x14ac:dyDescent="0.3">
      <c r="B49" s="21" t="s">
        <v>17</v>
      </c>
      <c r="C49" s="39">
        <f t="shared" ref="C49:M49" si="20">SUM(C40:C48)</f>
        <v>0.99999998815928959</v>
      </c>
      <c r="D49" s="21">
        <f t="shared" si="20"/>
        <v>0</v>
      </c>
      <c r="E49" s="21">
        <f t="shared" si="20"/>
        <v>0</v>
      </c>
      <c r="F49" s="21">
        <f t="shared" si="20"/>
        <v>0</v>
      </c>
      <c r="G49" s="21">
        <f t="shared" si="20"/>
        <v>0</v>
      </c>
      <c r="H49" s="21">
        <f t="shared" si="20"/>
        <v>0</v>
      </c>
      <c r="I49" s="21">
        <f t="shared" si="20"/>
        <v>5.0137468762124387E-4</v>
      </c>
      <c r="J49" s="21">
        <f t="shared" si="20"/>
        <v>0</v>
      </c>
      <c r="K49" s="21">
        <f t="shared" si="20"/>
        <v>0</v>
      </c>
      <c r="L49" s="21">
        <f t="shared" si="20"/>
        <v>0</v>
      </c>
      <c r="M49" s="21">
        <f t="shared" si="20"/>
        <v>5.0137468762124387E-4</v>
      </c>
    </row>
  </sheetData>
  <mergeCells count="2">
    <mergeCell ref="B18:C19"/>
    <mergeCell ref="B38:C39"/>
  </mergeCells>
  <pageMargins left="0.7" right="0.7" top="0.75" bottom="0.75" header="0.3" footer="0.3"/>
  <ignoredErrors>
    <ignoredError sqref="E20 H20 H23:H28" formula="1"/>
  </ignoredError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6F28F-7B9E-477D-A607-3B22D39CF96F}">
  <dimension ref="B2:E19"/>
  <sheetViews>
    <sheetView workbookViewId="0">
      <selection activeCell="B28" sqref="B28"/>
    </sheetView>
  </sheetViews>
  <sheetFormatPr defaultRowHeight="14.4" x14ac:dyDescent="0.3"/>
  <cols>
    <col min="2" max="2" width="15" customWidth="1"/>
    <col min="3" max="3" width="24.33203125" bestFit="1" customWidth="1"/>
    <col min="4" max="4" width="12" bestFit="1" customWidth="1"/>
    <col min="5" max="5" width="9.88671875" bestFit="1" customWidth="1"/>
    <col min="9" max="9" width="12" bestFit="1" customWidth="1"/>
  </cols>
  <sheetData>
    <row r="2" spans="2:5" ht="15.6" x14ac:dyDescent="0.3">
      <c r="B2" s="15" t="s">
        <v>34</v>
      </c>
    </row>
    <row r="3" spans="2:5" x14ac:dyDescent="0.3">
      <c r="D3" s="45"/>
    </row>
    <row r="4" spans="2:5" x14ac:dyDescent="0.3">
      <c r="B4" s="21"/>
      <c r="C4" s="21" t="s">
        <v>27</v>
      </c>
      <c r="D4" s="31" t="s">
        <v>16</v>
      </c>
    </row>
    <row r="5" spans="2:5" x14ac:dyDescent="0.3">
      <c r="B5" s="21" t="str">
        <f>'Линия эффективных портфелей'!B5</f>
        <v>Аэрофлот</v>
      </c>
      <c r="C5" s="21">
        <f>_xlfn.COVARIANCE.S(Доходность!B4:B256,Доходность!K4:K256)/'Модель доходности'!$L$5</f>
        <v>0.60898631883966825</v>
      </c>
      <c r="D5" s="41">
        <f>'Модель доходности'!C4</f>
        <v>1.5891121635179888E-3</v>
      </c>
    </row>
    <row r="6" spans="2:5" x14ac:dyDescent="0.3">
      <c r="B6" s="21" t="str">
        <f>'Линия эффективных портфелей'!B6</f>
        <v>Газпром</v>
      </c>
      <c r="C6" s="21">
        <f>_xlfn.COVARIANCE.S(Доходность!C4:C256,Доходность!$K$4:$K$256)/'Модель доходности'!$L$5</f>
        <v>0.48315394743410861</v>
      </c>
      <c r="D6" s="41">
        <f>'Модель доходности'!D4</f>
        <v>3.6145201195915689E-5</v>
      </c>
    </row>
    <row r="7" spans="2:5" x14ac:dyDescent="0.3">
      <c r="B7" s="21" t="str">
        <f>'Линия эффективных портфелей'!B7</f>
        <v>МТС</v>
      </c>
      <c r="C7" s="21">
        <f>_xlfn.COVARIANCE.S(Доходность!D4:D256,Доходность!$K$4:$K$256)/'Модель доходности'!$L$5</f>
        <v>0.37711523601625502</v>
      </c>
      <c r="D7" s="41">
        <f>'Модель доходности'!E4</f>
        <v>4.4473619750291256E-4</v>
      </c>
    </row>
    <row r="8" spans="2:5" x14ac:dyDescent="0.3">
      <c r="B8" s="21" t="str">
        <f>'Линия эффективных портфелей'!B8</f>
        <v>Роснефть</v>
      </c>
      <c r="C8" s="21">
        <f>_xlfn.COVARIANCE.S(Доходность!E4:E256,Доходность!$K$4:$K$256)/'Модель доходности'!$L$5</f>
        <v>0.28278370261177593</v>
      </c>
      <c r="D8" s="41">
        <f>'Модель доходности'!F4</f>
        <v>2.1520809966442817E-3</v>
      </c>
    </row>
    <row r="9" spans="2:5" x14ac:dyDescent="0.3">
      <c r="B9" s="21" t="str">
        <f>'Линия эффективных портфелей'!B9</f>
        <v xml:space="preserve">Сбербанк </v>
      </c>
      <c r="C9" s="21">
        <f>_xlfn.COVARIANCE.S(Доходность!F4:F256,Доходность!$K$4:$K$256)/'Модель доходности'!$L$5</f>
        <v>0.59426715307580391</v>
      </c>
      <c r="D9" s="41">
        <f>'Модель доходности'!G4</f>
        <v>2.6584824432780633E-3</v>
      </c>
    </row>
    <row r="10" spans="2:5" x14ac:dyDescent="0.3">
      <c r="B10" s="21" t="str">
        <f>'Линия эффективных портфелей'!B10</f>
        <v>Башнефть</v>
      </c>
      <c r="C10" s="21">
        <f>_xlfn.COVARIANCE.S(Доходность!G4:G256,Доходность!$K$4:$K$256)/'Модель доходности'!$L$5</f>
        <v>0.43498799602580984</v>
      </c>
      <c r="D10" s="41">
        <f>'Модель доходности'!H4</f>
        <v>3.6185148452593384E-3</v>
      </c>
    </row>
    <row r="11" spans="2:5" x14ac:dyDescent="0.3">
      <c r="B11" s="21" t="str">
        <f>'Линия эффективных портфелей'!B11</f>
        <v>М.видео</v>
      </c>
      <c r="C11" s="21">
        <f>_xlfn.COVARIANCE.S(Доходность!H4:H256,Доходность!$K$4:$K$256)/'Модель доходности'!$L$5</f>
        <v>0.5498994479939241</v>
      </c>
      <c r="D11" s="41">
        <f>'Модель доходности'!I4</f>
        <v>3.9183445530558499E-4</v>
      </c>
    </row>
    <row r="12" spans="2:5" x14ac:dyDescent="0.3">
      <c r="B12" s="21" t="str">
        <f>'Линия эффективных портфелей'!B12</f>
        <v>ПИК</v>
      </c>
      <c r="C12" s="21">
        <f>_xlfn.COVARIANCE.S(Доходность!I4:I256,Доходность!$K$4:$K$256)/'Модель доходности'!$L$5</f>
        <v>0.37247204264684497</v>
      </c>
      <c r="D12" s="41">
        <f>'Модель доходности'!J4</f>
        <v>5.9800717111760512E-4</v>
      </c>
    </row>
    <row r="13" spans="2:5" x14ac:dyDescent="0.3">
      <c r="B13" s="21" t="str">
        <f>'Линия эффективных портфелей'!B13</f>
        <v>Татнефть</v>
      </c>
      <c r="C13" s="21">
        <f>_xlfn.COVARIANCE.S(Доходность!J4:J256,Доходность!$K$4:$K$256)/'Модель доходности'!$L$5</f>
        <v>0.32111290212455218</v>
      </c>
      <c r="D13" s="41">
        <f>'Модель доходности'!K4</f>
        <v>2.351985378806847E-3</v>
      </c>
    </row>
    <row r="14" spans="2:5" x14ac:dyDescent="0.3">
      <c r="E14" s="46"/>
    </row>
    <row r="15" spans="2:5" ht="15.6" x14ac:dyDescent="0.3">
      <c r="B15" s="15" t="s">
        <v>29</v>
      </c>
    </row>
    <row r="17" spans="2:5" x14ac:dyDescent="0.3">
      <c r="B17" s="21"/>
      <c r="C17" s="31" t="s">
        <v>16</v>
      </c>
      <c r="D17" s="31" t="s">
        <v>28</v>
      </c>
    </row>
    <row r="18" spans="2:5" x14ac:dyDescent="0.3">
      <c r="B18" s="47" t="s">
        <v>31</v>
      </c>
      <c r="C18" s="51">
        <f>'Модель доходности'!M4</f>
        <v>2.3893387408413337E-4</v>
      </c>
      <c r="D18" s="21">
        <v>0</v>
      </c>
      <c r="E18" s="14" t="s">
        <v>33</v>
      </c>
    </row>
    <row r="19" spans="2:5" x14ac:dyDescent="0.3">
      <c r="B19" s="21" t="s">
        <v>30</v>
      </c>
      <c r="C19" s="22">
        <f>'Модель доходности'!L4</f>
        <v>4.2616391411383803E-4</v>
      </c>
      <c r="D19" s="21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Статистика акций за год</vt:lpstr>
      <vt:lpstr>Доходность</vt:lpstr>
      <vt:lpstr>Модель доходности</vt:lpstr>
      <vt:lpstr>Линия эффективных портфелей</vt:lpstr>
      <vt:lpstr>SML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Дмитрий</dc:creator>
  <cp:lastModifiedBy>USER</cp:lastModifiedBy>
  <dcterms:created xsi:type="dcterms:W3CDTF">2015-06-05T18:19:34Z</dcterms:created>
  <dcterms:modified xsi:type="dcterms:W3CDTF">2023-12-25T14:59:47Z</dcterms:modified>
</cp:coreProperties>
</file>